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41a23863d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e2929e0c7264e0c"/>
    <x:sheet xmlns:r="http://schemas.openxmlformats.org/officeDocument/2006/relationships" name="Monthly" sheetId="2" r:id="R16fa60433f984dd8"/>
    <x:sheet xmlns:r="http://schemas.openxmlformats.org/officeDocument/2006/relationships" name="Markets" sheetId="3" r:id="R1f6ba807ffa849bc"/>
    <x:sheet xmlns:r="http://schemas.openxmlformats.org/officeDocument/2006/relationships" name="Products" sheetId="4" r:id="Ra8711fbfe3974e0c"/>
    <x:sheet xmlns:r="http://schemas.openxmlformats.org/officeDocument/2006/relationships" name="Customer Segments" sheetId="5" r:id="R0575cf7cc30b4565"/>
    <x:sheet xmlns:r="http://schemas.openxmlformats.org/officeDocument/2006/relationships" name="Cohorts" sheetId="6" r:id="R04ff6a92bd9c4893"/>
    <x:sheet xmlns:r="http://schemas.openxmlformats.org/officeDocument/2006/relationships" name="Model Summary" sheetId="7" r:id="R8c628194a7b7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#,##0"/>
    <x:numFmt numFmtId="202" formatCode="0.0%"/>
    <x:numFmt numFmtId="203" formatCode="£#,##0"/>
    <x:numFmt numFmtId="204" formatCode="£#,##0.00"/>
    <x:numFmt numFmtId="205" formatCode="yyyy-mm"/>
    <x:numFmt numFmtId="206" formatCode="0%"/>
    <x:numFmt numFmtId="207" formatCode="yyyy-mm-dd"/>
  </x:numFmts>
  <x:fonts count="11">
    <x:font>
      <x:sz val="11"/>
      <x:name val="Carlito"/>
    </x:font>
    <x:font>
      <x:b/>
      <x:sz val="16"/>
      <x:color rgb="FF0F172A"/>
      <x:name val="Arial"/>
    </x:font>
    <x:font>
      <x:i/>
      <x:sz val="10"/>
      <x:color rgb="FF475569"/>
      <x:name val="Arial"/>
    </x:font>
    <x:font>
      <x:b/>
      <x:sz val="9"/>
      <x:color rgb="FFFFFFFF"/>
      <x:name val="Arial"/>
    </x:font>
    <x:font>
      <x:b/>
      <x:sz val="15"/>
      <x:color rgb="FF2563EB"/>
      <x:name val="Arial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sz val="10"/>
      <x:color rgb="FF475569"/>
      <x:name val="Arial"/>
    </x:font>
    <x:font>
      <x:b/>
      <x:sz val="12"/>
      <x:color rgb="FF0F172A"/>
      <x:name val="Arial"/>
    </x:font>
    <x:font>
      <x:b/>
      <x:sz val="10"/>
      <x:color rgb="FF04785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14">
    <x:border/>
    <x:border>
      <x:bottom style="medium">
        <x:color rgb="FF2563EB"/>
      </x:bottom>
    </x:border>
    <x:border>
      <x:left style="thin">
        <x:color rgb="FFBFDBFE"/>
      </x:left>
      <x:top style="thin">
        <x:color rgb="FFBFDBFE"/>
      </x:top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  <x:bottom style="thin">
        <x:color rgb="FFBFDBFE"/>
      </x:bottom>
    </x:border>
    <x:border>
      <x:right style="thin">
        <x:color rgb="FFBFDBFE"/>
      </x:right>
      <x:bottom style="thin">
        <x:color rgb="FFBFDBFE"/>
      </x:bottom>
    </x:border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5" xfId="0" applyNumberFormat="1" applyFont="1" applyFill="1" applyBorder="1"/>
    <x:xf numFmtId="200" fontId="4" fillId="3" borderId="2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/>
    <x:xf numFmtId="201" fontId="4" fillId="3" borderId="3" xfId="0" applyNumberFormat="1" applyFont="1" applyFill="1" applyBorder="1"/>
    <x:xf numFmtId="201" fontId="4" fillId="3" borderId="4" xfId="0" applyNumberFormat="1" applyFont="1" applyFill="1" applyBorder="1"/>
    <x:xf numFmtId="201" fontId="4" fillId="3" borderId="5" xfId="0" applyNumberFormat="1" applyFont="1" applyFill="1" applyBorder="1"/>
    <x:xf numFmtId="201" fontId="4" fillId="3" borderId="2" xfId="0" applyNumberFormat="1" applyFont="1" applyFill="1" applyBorder="1" applyAlignment="1">
      <x:alignment horizontal="center"/>
    </x:xf>
    <x:xf numFmtId="201" fontId="4" fillId="3" borderId="3" xfId="0" applyNumberFormat="1" applyFont="1" applyFill="1" applyBorder="1" applyAlignment="1">
      <x:alignment horizontal="center"/>
    </x:xf>
    <x:xf numFmtId="201" fontId="4" fillId="3" borderId="4" xfId="0" applyNumberFormat="1" applyFont="1" applyFill="1" applyBorder="1" applyAlignment="1">
      <x:alignment horizontal="center"/>
    </x:xf>
    <x:xf numFmtId="201" fontId="4" fillId="3" borderId="5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center" vertical="center"/>
    </x:xf>
    <x:xf numFmtId="201" fontId="4" fillId="3" borderId="4" xfId="0" applyNumberFormat="1" applyFont="1" applyFill="1" applyBorder="1" applyAlignment="1">
      <x:alignment horizontal="center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2" fontId="4" fillId="3" borderId="2" xfId="0" applyNumberFormat="1" applyFont="1" applyFill="1" applyBorder="1"/>
    <x:xf numFmtId="202" fontId="4" fillId="3" borderId="3" xfId="0" applyNumberFormat="1" applyFont="1" applyFill="1" applyBorder="1"/>
    <x:xf numFmtId="202" fontId="4" fillId="3" borderId="4" xfId="0" applyNumberFormat="1" applyFont="1" applyFill="1" applyBorder="1"/>
    <x:xf numFmtId="202" fontId="4" fillId="3" borderId="5" xfId="0" applyNumberFormat="1" applyFont="1" applyFill="1" applyBorder="1"/>
    <x:xf numFmtId="202" fontId="4" fillId="3" borderId="2" xfId="0" applyNumberFormat="1" applyFont="1" applyFill="1" applyBorder="1" applyAlignment="1">
      <x:alignment horizontal="center"/>
    </x:xf>
    <x:xf numFmtId="202" fontId="4" fillId="3" borderId="3" xfId="0" applyNumberFormat="1" applyFont="1" applyFill="1" applyBorder="1" applyAlignment="1">
      <x:alignment horizontal="center"/>
    </x:xf>
    <x:xf numFmtId="202" fontId="4" fillId="3" borderId="4" xfId="0" applyNumberFormat="1" applyFont="1" applyFill="1" applyBorder="1" applyAlignment="1">
      <x:alignment horizontal="center"/>
    </x:xf>
    <x:xf numFmtId="202" fontId="4" fillId="3" borderId="5" xfId="0" applyNumberFormat="1" applyFont="1" applyFill="1" applyBorder="1" applyAlignment="1">
      <x:alignment horizontal="center"/>
    </x:xf>
    <x:xf numFmtId="202" fontId="4" fillId="3" borderId="2" xfId="0" applyNumberFormat="1" applyFont="1" applyFill="1" applyBorder="1" applyAlignment="1">
      <x:alignment horizontal="center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4" xfId="0" applyNumberFormat="1" applyFont="1" applyFill="1" applyBorder="1" applyAlignment="1">
      <x:alignment horizontal="center" vertical="center"/>
    </x:xf>
    <x:xf numFmtId="202" fontId="4" fillId="3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6" xfId="0" applyNumberFormat="1" applyFont="1" applyFill="1" applyBorder="1"/>
    <x:xf numFmtId="0" fontId="9" fillId="0" borderId="6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6" xfId="0" applyNumberFormat="1" applyFont="1" applyFill="1" applyBorder="1"/>
    <x:xf numFmtId="0" fontId="5" fillId="4" borderId="13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68209b27b40d8" /><Relationship Type="http://schemas.openxmlformats.org/officeDocument/2006/relationships/theme" Target="/xl/theme/theme1.xml" Id="R73e6fde1dc7d45c3" /><Relationship Type="http://schemas.openxmlformats.org/officeDocument/2006/relationships/sharedStrings" Target="/xl/sharedStrings.xml" Id="Rac0e60d367834a4d" /><Relationship Type="http://schemas.openxmlformats.org/officeDocument/2006/relationships/worksheet" Target="/xl/worksheets/sheet1.xml" Id="R2e2929e0c7264e0c" /><Relationship Type="http://schemas.openxmlformats.org/officeDocument/2006/relationships/worksheet" Target="/xl/worksheets/sheet2.xml" Id="R16fa60433f984dd8" /><Relationship Type="http://schemas.openxmlformats.org/officeDocument/2006/relationships/worksheet" Target="/xl/worksheets/sheet3.xml" Id="R1f6ba807ffa849bc" /><Relationship Type="http://schemas.openxmlformats.org/officeDocument/2006/relationships/worksheet" Target="/xl/worksheets/sheet4.xml" Id="Ra8711fbfe3974e0c" /><Relationship Type="http://schemas.openxmlformats.org/officeDocument/2006/relationships/worksheet" Target="/xl/worksheets/sheet5.xml" Id="R0575cf7cc30b4565" /><Relationship Type="http://schemas.openxmlformats.org/officeDocument/2006/relationships/worksheet" Target="/xl/worksheets/sheet6.xml" Id="R04ff6a92bd9c4893" /><Relationship Type="http://schemas.openxmlformats.org/officeDocument/2006/relationships/worksheet" Target="/xl/worksheets/sheet7.xml" Id="R8c628194a7b746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3e39f4b20b4ef7" /><Relationship Type="http://schemas.openxmlformats.org/officeDocument/2006/relationships/chart" Target="/xl/drawings/charts/chart2.xml" Id="R1698b7132a4047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'Monthly'!$A$6:$A$18</c:f>
              <c:strCache>
                <c:ptCount val="0"/>
              </c:strCache>
            </c:strRef>
          </c:cat>
          <c:val>
            <c:numRef>
              <c:f>'Monthly'!$B$6:$B$18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markets by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'Markets'!$A$6:$A$14</c:f>
              <c:strCache>
                <c:ptCount val="0"/>
              </c:strCache>
            </c:strRef>
          </c:cat>
          <c:val>
            <c:numRef>
              <c:f>'Markets'!$C$6:$C$14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.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3e39f4b20b4ef7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98b7132a4047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" displayName="MonthlyPerformance" ref="A5:F18" headerRowCount="1" totalsRowCount="0" totalsRowShown="0">
  <x:autoFilter ref="A5:F18"/>
  <x:tableColumns count="6">
    <x:tableColumn id="1" name="month"/>
    <x:tableColumn id="2" name="revenue"/>
    <x:tableColumn id="3" name="orders"/>
    <x:tableColumn id="4" name="active_customers"/>
    <x:tableColumn id="5" name="units_sold"/>
    <x:tableColumn id="6" name="average_order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Performance" displayName="MarketPerformance" ref="A5:G21" headerRowCount="1" totalsRowCount="0" totalsRowShown="0">
  <x:autoFilter ref="A5:G21"/>
  <x:tableColumns count="7">
    <x:tableColumn id="1" name="country"/>
    <x:tableColumn id="2" name="market_type"/>
    <x:tableColumn id="3" name="revenue"/>
    <x:tableColumn id="4" name="orders"/>
    <x:tableColumn id="5" name="customers"/>
    <x:tableColumn id="6" name="average_order_value"/>
    <x:tableColumn id="7" name="revenue_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Products" displayName="TopProducts" ref="A5:F25" headerRowCount="1" totalsRowCount="0" totalsRowShown="0">
  <x:autoFilter ref="A5:F25"/>
  <x:tableColumns count="6">
    <x:tableColumn id="1" name="product_id"/>
    <x:tableColumn id="2" name="product_description"/>
    <x:tableColumn id="3" name="units_sold"/>
    <x:tableColumn id="4" name="revenue"/>
    <x:tableColumn id="5" name="orders"/>
    <x:tableColumn id="6" name="custom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fmSegments" displayName="RfmSegments" ref="A5:E11" headerRowCount="1" totalsRowCount="0" totalsRowShown="0">
  <x:autoFilter ref="A5:E11"/>
  <x:tableColumns count="5">
    <x:tableColumn id="1" name="segment"/>
    <x:tableColumn id="2" name="customers"/>
    <x:tableColumn id="3" name="revenue"/>
    <x:tableColumn id="4" name="median_recency_days"/>
    <x:tableColumn id="5" name="median_ord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hortRetention" displayName="CohortRetention" ref="A5:N18" headerRowCount="1" totalsRowCount="0" totalsRowShown="0">
  <x:autoFilter ref="A5:N18"/>
  <x:tableColumns count="14">
    <x:tableColumn id="1" name="cohort_month"/>
    <x:tableColumn id="2" name="month_0"/>
    <x:tableColumn id="3" name="month_1"/>
    <x:tableColumn id="4" name="month_2"/>
    <x:tableColumn id="5" name="month_3"/>
    <x:tableColumn id="6" name="month_4"/>
    <x:tableColumn id="7" name="month_5"/>
    <x:tableColumn id="8" name="month_6"/>
    <x:tableColumn id="9" name="month_7"/>
    <x:tableColumn id="10" name="month_8"/>
    <x:tableColumn id="11" name="month_9"/>
    <x:tableColumn id="12" name="month_10"/>
    <x:tableColumn id="13" name="month_11"/>
    <x:tableColumn id="14" name="month_1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iDefinitions" displayName="KpiDefinitions" ref="A5:B15" headerRowCount="1" totalsRowCount="0" totalsRowShown="0">
  <x:autoFilter ref="A5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Quality" displayName="DataQuality" ref="A20:B28" headerRowCount="1" totalsRowCount="0" totalsRowShown="0">
  <x:autoFilter ref="A20:B28"/>
  <x:tableColumns count="2">
    <x:tableColumn id="1" name="check_name"/>
    <x:tableColumn id="2" name="check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65c0ee4a0c49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34283ca3f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c657b37b07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180f933840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d275fd7874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c15321ae41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5b969f34c640bd" /><Relationship Type="http://schemas.openxmlformats.org/officeDocument/2006/relationships/table" Target="/xl/tables/table7.xml" Id="Rf269dca9f3e749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3" max="3" width="3" hidden="0" customWidth="1"/>
    <x:col min="6" max="6" width="3" hidden="0" customWidth="1"/>
    <x:col min="9" max="9" width="3" hidden="0" customWidth="1"/>
    <x:col min="12" max="12" width="3" hidden="0" customWidth="1"/>
  </x:cols>
  <x:sheetData>
    <x:row r="2">
      <x:c r="A2" s="94" t="str">
        <x:v>E-commerce Business Analytics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UCI Online Retail · ventas, clientes, mercados, cohortes y devoluciones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 ht="23" customHeight="1">
      <x:c r="A5" s="7" t="str">
        <x:v>REVENUE (£M)</x:v>
      </x:c>
      <x:c r="B5" s="7"/>
      <x:c r="C5" s="97"/>
      <x:c r="D5" s="7" t="str">
        <x:v>ORDERS</x:v>
      </x:c>
      <x:c r="E5" s="7"/>
      <x:c r="F5" s="97"/>
      <x:c r="G5" s="7" t="str">
        <x:v>CUSTOMERS</x:v>
      </x:c>
      <x:c r="H5" s="7"/>
      <x:c r="I5" s="97"/>
      <x:c r="J5" s="7" t="str">
        <x:v>AVG ORDER VALUE (£)</x:v>
      </x:c>
      <x:c r="K5" s="7"/>
      <x:c r="L5" s="97"/>
      <x:c r="M5" s="7" t="str">
        <x:v>RETURN VALUE RATE</x:v>
      </x:c>
      <x:c r="N5" s="7"/>
    </x:row>
    <x:row r="6" ht="23" customHeight="1">
      <x:c r="A6" s="22" t="n">
        <x:f>ROUND('Model Summary'!B6/1000000,1)</x:f>
        <x:v>10.7</x:v>
      </x:c>
      <x:c r="B6" s="23"/>
      <x:c r="C6" s="97"/>
      <x:c r="D6" s="34" t="n">
        <x:f>'Model Summary'!B7</x:f>
        <x:v>19960</x:v>
      </x:c>
      <x:c r="E6" s="35"/>
      <x:c r="F6" s="97"/>
      <x:c r="G6" s="34" t="n">
        <x:f>'Model Summary'!B8</x:f>
        <x:v>4338</x:v>
      </x:c>
      <x:c r="H6" s="35"/>
      <x:c r="I6" s="97"/>
      <x:c r="J6" s="34" t="n">
        <x:f>ROUND('Model Summary'!B9,0)</x:f>
        <x:v>534</x:v>
      </x:c>
      <x:c r="K6" s="35"/>
      <x:c r="L6" s="97"/>
      <x:c r="M6" s="46" t="n">
        <x:f>'Model Summary'!B12</x:f>
        <x:v>0.0841</x:v>
      </x:c>
      <x:c r="N6" s="47"/>
    </x:row>
    <x:row r="7" ht="23" customHeight="1">
      <x:c r="A7" s="24"/>
      <x:c r="B7" s="25"/>
      <x:c r="C7" s="97"/>
      <x:c r="D7" s="36"/>
      <x:c r="E7" s="37"/>
      <x:c r="F7" s="97"/>
      <x:c r="G7" s="36"/>
      <x:c r="H7" s="37"/>
      <x:c r="I7" s="97"/>
      <x:c r="J7" s="36"/>
      <x:c r="K7" s="37"/>
      <x:c r="L7" s="97"/>
      <x:c r="M7" s="48"/>
      <x:c r="N7" s="49"/>
    </x:row>
    <x:row r="8">
      <x:c r="A8" s="97"/>
      <x:c r="B8" s="97"/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7"/>
    </x:row>
    <x:row r="9">
      <x:c r="A9" s="97"/>
      <x:c r="B9" s="97"/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</x:row>
    <x:row r="10">
      <x:c r="A10" s="97"/>
      <x:c r="B10" s="97"/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</x:row>
    <x:row r="24">
      <x:c r="A24" s="97"/>
      <x:c r="B24" s="97"/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</x:row>
    <x:row r="25">
      <x:c r="A25" s="98" t="str">
        <x:v>Decision-ready findings</x:v>
      </x:c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  <x:c r="N25" s="99"/>
    </x:row>
    <x:row r="26">
      <x:c r="A26" s="97"/>
      <x:c r="B26" s="97"/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</x:row>
    <x:row r="27" ht="22" customHeight="1">
      <x:c r="A27" s="66" t="str">
        <x:v>Seasonality</x:v>
      </x:c>
      <x:c r="B27" s="66"/>
      <x:c r="C27" s="66"/>
      <x:c r="D27" s="66"/>
      <x:c r="E27" s="97"/>
      <x:c r="F27" s="66" t="str">
        <x:v>Retention</x:v>
      </x:c>
      <x:c r="G27" s="66"/>
      <x:c r="H27" s="66"/>
      <x:c r="I27" s="66"/>
      <x:c r="J27" s="97"/>
      <x:c r="K27" s="66" t="str">
        <x:v>Customer risk</x:v>
      </x:c>
      <x:c r="L27" s="66"/>
      <x:c r="M27" s="66"/>
      <x:c r="N27" s="66"/>
    </x:row>
    <x:row r="28" ht="22" customHeight="1">
      <x:c r="A28" s="100" t="str">
        <x:v>November 2011 generated £1.51M, the strongest month in the observed period.</x:v>
      </x:c>
      <x:c r="B28" s="101"/>
      <x:c r="C28" s="101"/>
      <x:c r="D28" s="102"/>
      <x:c r="E28" s="97"/>
      <x:c r="F28" s="100" t="str">
        <x:v>Only 22.7% of customers repurchased one month after acquisition (weighted).</x:v>
      </x:c>
      <x:c r="G28" s="101"/>
      <x:c r="H28" s="101"/>
      <x:c r="I28" s="102"/>
      <x:c r="J28" s="97"/>
      <x:c r="K28" s="100" t="str">
        <x:v>662 at-risk customers represent £0.83M in historical revenue.</x:v>
      </x:c>
      <x:c r="L28" s="101"/>
      <x:c r="M28" s="101"/>
      <x:c r="N28" s="102"/>
    </x:row>
    <x:row r="29" ht="22" customHeight="1">
      <x:c r="A29" s="103"/>
      <x:c r="B29" s="104"/>
      <x:c r="C29" s="104"/>
      <x:c r="D29" s="105"/>
      <x:c r="E29" s="97"/>
      <x:c r="F29" s="103"/>
      <x:c r="G29" s="104"/>
      <x:c r="H29" s="104"/>
      <x:c r="I29" s="105"/>
      <x:c r="J29" s="97"/>
      <x:c r="K29" s="103"/>
      <x:c r="L29" s="104"/>
      <x:c r="M29" s="104"/>
      <x:c r="N29" s="105"/>
    </x:row>
    <x:row r="30" ht="22" customHeight="1">
      <x:c r="A30" s="106"/>
      <x:c r="B30" s="107"/>
      <x:c r="C30" s="107"/>
      <x:c r="D30" s="108"/>
      <x:c r="E30" s="97"/>
      <x:c r="F30" s="106"/>
      <x:c r="G30" s="107"/>
      <x:c r="H30" s="107"/>
      <x:c r="I30" s="108"/>
      <x:c r="J30" s="97"/>
      <x:c r="K30" s="106"/>
      <x:c r="L30" s="107"/>
      <x:c r="M30" s="107"/>
      <x:c r="N30" s="108"/>
    </x:row>
  </x:sheetData>
  <x:mergeCells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27:D27"/>
    <x:mergeCell ref="A28:D30"/>
    <x:mergeCell ref="F27:I27"/>
    <x:mergeCell ref="F28:I30"/>
    <x:mergeCell ref="K27:N27"/>
    <x:mergeCell ref="K28:N30"/>
  </x:mergeCells>
  <x:pageMargins left="0.7" right="0.7" top="0.75" bottom="0.75" header="0.3" footer="0.3"/>
  <x:drawing xmlns:r="http://schemas.openxmlformats.org/officeDocument/2006/relationships" r:id="R0465c0ee4a0c49a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2" hidden="0" customWidth="1"/>
    <x:col min="4" max="4" width="18" hidden="0" customWidth="1"/>
    <x:col min="5" max="5" width="15" hidden="0" customWidth="1"/>
    <x:col min="6" max="6" width="20" hidden="0" customWidth="1"/>
  </x:cols>
  <x:sheetData>
    <x:row r="2">
      <x:c r="A2" s="94" t="str">
        <x:v>Monthly performance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Revenue, orders, customers and order economics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month</x:v>
      </x:c>
      <x:c r="B5" s="51" t="str">
        <x:v>revenue</x:v>
      </x:c>
      <x:c r="C5" s="51" t="str">
        <x:v>orders</x:v>
      </x:c>
      <x:c r="D5" s="51" t="str">
        <x:v>active_customers</x:v>
      </x:c>
      <x:c r="E5" s="51" t="str">
        <x:v>units_sold</x:v>
      </x:c>
      <x:c r="F5" s="51" t="str">
        <x:v>average_order_value</x:v>
      </x:c>
      <x:c r="G5" s="97"/>
      <x:c r="H5" s="97"/>
      <x:c r="I5" s="97"/>
      <x:c r="J5" s="97"/>
      <x:c r="K5" s="97"/>
      <x:c r="L5" s="97"/>
      <x:c r="M5" s="97"/>
      <x:c r="N5" s="97"/>
    </x:row>
    <x:row r="6">
      <x:c r="A6" s="51" t="str">
        <x:v>Dec 10</x:v>
      </x:c>
      <x:c r="B6" s="52" t="n">
        <x:v>823746.14</x:v>
      </x:c>
      <x:c r="C6" s="53" t="n">
        <x:v>1559</x:v>
      </x:c>
      <x:c r="D6" s="53" t="n">
        <x:v>885</x:v>
      </x:c>
      <x:c r="E6" s="53" t="n">
        <x:v>359239</x:v>
      </x:c>
      <x:c r="F6" s="54" t="n">
        <x:v>528.38</x:v>
      </x:c>
      <x:c r="G6" s="97"/>
      <x:c r="H6" s="97"/>
      <x:c r="I6" s="97"/>
      <x:c r="J6" s="97"/>
      <x:c r="K6" s="97"/>
      <x:c r="L6" s="97"/>
      <x:c r="M6" s="97"/>
      <x:c r="N6" s="97"/>
    </x:row>
    <x:row r="7">
      <x:c r="A7" s="51" t="str">
        <x:v>Jan 11</x:v>
      </x:c>
      <x:c r="B7" s="52" t="n">
        <x:v>691364.56</x:v>
      </x:c>
      <x:c r="C7" s="53" t="n">
        <x:v>1086</x:v>
      </x:c>
      <x:c r="D7" s="53" t="n">
        <x:v>741</x:v>
      </x:c>
      <x:c r="E7" s="53" t="n">
        <x:v>387785</x:v>
      </x:c>
      <x:c r="F7" s="54" t="n">
        <x:v>636.62</x:v>
      </x:c>
      <x:c r="G7" s="97"/>
      <x:c r="H7" s="97"/>
      <x:c r="I7" s="97"/>
      <x:c r="J7" s="97"/>
      <x:c r="K7" s="97"/>
      <x:c r="L7" s="97"/>
      <x:c r="M7" s="97"/>
      <x:c r="N7" s="97"/>
    </x:row>
    <x:row r="8">
      <x:c r="A8" s="51" t="str">
        <x:v>Feb 11</x:v>
      </x:c>
      <x:c r="B8" s="52" t="n">
        <x:v>523631.89</x:v>
      </x:c>
      <x:c r="C8" s="53" t="n">
        <x:v>1100</x:v>
      </x:c>
      <x:c r="D8" s="53" t="n">
        <x:v>758</x:v>
      </x:c>
      <x:c r="E8" s="53" t="n">
        <x:v>283555</x:v>
      </x:c>
      <x:c r="F8" s="54" t="n">
        <x:v>476.03</x:v>
      </x:c>
      <x:c r="G8" s="97"/>
      <x:c r="H8" s="97"/>
      <x:c r="I8" s="97"/>
      <x:c r="J8" s="97"/>
      <x:c r="K8" s="97"/>
      <x:c r="L8" s="97"/>
      <x:c r="M8" s="97"/>
      <x:c r="N8" s="97"/>
    </x:row>
    <x:row r="9">
      <x:c r="A9" s="51" t="str">
        <x:v>Mar 11</x:v>
      </x:c>
      <x:c r="B9" s="52" t="n">
        <x:v>717639.36</x:v>
      </x:c>
      <x:c r="C9" s="53" t="n">
        <x:v>1454</x:v>
      </x:c>
      <x:c r="D9" s="53" t="n">
        <x:v>974</x:v>
      </x:c>
      <x:c r="E9" s="53" t="n">
        <x:v>377526</x:v>
      </x:c>
      <x:c r="F9" s="54" t="n">
        <x:v>493.56</x:v>
      </x:c>
      <x:c r="G9" s="97"/>
      <x:c r="H9" s="97"/>
      <x:c r="I9" s="97"/>
      <x:c r="J9" s="97"/>
      <x:c r="K9" s="97"/>
      <x:c r="L9" s="97"/>
      <x:c r="M9" s="97"/>
      <x:c r="N9" s="97"/>
    </x:row>
    <x:row r="10">
      <x:c r="A10" s="51" t="str">
        <x:v>Apr 11</x:v>
      </x:c>
      <x:c r="B10" s="52" t="n">
        <x:v>537808.62</x:v>
      </x:c>
      <x:c r="C10" s="53" t="n">
        <x:v>1246</x:v>
      </x:c>
      <x:c r="D10" s="53" t="n">
        <x:v>856</x:v>
      </x:c>
      <x:c r="E10" s="53" t="n">
        <x:v>308815</x:v>
      </x:c>
      <x:c r="F10" s="54" t="n">
        <x:v>431.63</x:v>
      </x:c>
      <x:c r="G10" s="97"/>
      <x:c r="H10" s="97"/>
      <x:c r="I10" s="97"/>
      <x:c r="J10" s="97"/>
      <x:c r="K10" s="97"/>
      <x:c r="L10" s="97"/>
      <x:c r="M10" s="97"/>
      <x:c r="N10" s="97"/>
    </x:row>
    <x:row r="11">
      <x:c r="A11" s="51" t="str">
        <x:v>May 11</x:v>
      </x:c>
      <x:c r="B11" s="52" t="n">
        <x:v>770536.02</x:v>
      </x:c>
      <x:c r="C11" s="53" t="n">
        <x:v>1681</x:v>
      </x:c>
      <x:c r="D11" s="53" t="n">
        <x:v>1056</x:v>
      </x:c>
      <x:c r="E11" s="53" t="n">
        <x:v>395738</x:v>
      </x:c>
      <x:c r="F11" s="54" t="n">
        <x:v>458.38</x:v>
      </x:c>
      <x:c r="G11" s="97"/>
      <x:c r="H11" s="97"/>
      <x:c r="I11" s="97"/>
      <x:c r="J11" s="97"/>
      <x:c r="K11" s="97"/>
      <x:c r="L11" s="97"/>
      <x:c r="M11" s="97"/>
      <x:c r="N11" s="97"/>
    </x:row>
    <x:row r="12">
      <x:c r="A12" s="51" t="str">
        <x:v>Jun 11</x:v>
      </x:c>
      <x:c r="B12" s="52" t="n">
        <x:v>761739.9</x:v>
      </x:c>
      <x:c r="C12" s="53" t="n">
        <x:v>1533</x:v>
      </x:c>
      <x:c r="D12" s="53" t="n">
        <x:v>991</x:v>
      </x:c>
      <x:c r="E12" s="53" t="n">
        <x:v>389213</x:v>
      </x:c>
      <x:c r="F12" s="54" t="n">
        <x:v>496.89</x:v>
      </x:c>
      <x:c r="G12" s="97"/>
      <x:c r="H12" s="97"/>
      <x:c r="I12" s="97"/>
      <x:c r="J12" s="97"/>
      <x:c r="K12" s="97"/>
      <x:c r="L12" s="97"/>
      <x:c r="M12" s="97"/>
      <x:c r="N12" s="97"/>
    </x:row>
    <x:row r="13">
      <x:c r="A13" s="51" t="str">
        <x:v>Jul 11</x:v>
      </x:c>
      <x:c r="B13" s="52" t="n">
        <x:v>719221.19</x:v>
      </x:c>
      <x:c r="C13" s="53" t="n">
        <x:v>1475</x:v>
      </x:c>
      <x:c r="D13" s="53" t="n">
        <x:v>949</x:v>
      </x:c>
      <x:c r="E13" s="53" t="n">
        <x:v>401759</x:v>
      </x:c>
      <x:c r="F13" s="54" t="n">
        <x:v>487.61</x:v>
      </x:c>
      <x:c r="G13" s="97"/>
      <x:c r="H13" s="97"/>
      <x:c r="I13" s="97"/>
      <x:c r="J13" s="97"/>
      <x:c r="K13" s="97"/>
      <x:c r="L13" s="97"/>
      <x:c r="M13" s="97"/>
      <x:c r="N13" s="97"/>
    </x:row>
    <x:row r="14">
      <x:c r="A14" s="51" t="str">
        <x:v>Aug 11</x:v>
      </x:c>
      <x:c r="B14" s="52" t="n">
        <x:v>759138.38</x:v>
      </x:c>
      <x:c r="C14" s="53" t="n">
        <x:v>1361</x:v>
      </x:c>
      <x:c r="D14" s="53" t="n">
        <x:v>935</x:v>
      </x:c>
      <x:c r="E14" s="53" t="n">
        <x:v>421770</x:v>
      </x:c>
      <x:c r="F14" s="54" t="n">
        <x:v>557.78</x:v>
      </x:c>
      <x:c r="G14" s="97"/>
      <x:c r="H14" s="97"/>
      <x:c r="I14" s="97"/>
      <x:c r="J14" s="97"/>
      <x:c r="K14" s="97"/>
      <x:c r="L14" s="97"/>
      <x:c r="M14" s="97"/>
      <x:c r="N14" s="97"/>
    </x:row>
    <x:row r="15">
      <x:c r="A15" s="51" t="str">
        <x:v>Sept 11</x:v>
      </x:c>
      <x:c r="B15" s="52" t="n">
        <x:v>1058590.17</x:v>
      </x:c>
      <x:c r="C15" s="53" t="n">
        <x:v>1837</x:v>
      </x:c>
      <x:c r="D15" s="53" t="n">
        <x:v>1266</x:v>
      </x:c>
      <x:c r="E15" s="53" t="n">
        <x:v>570820</x:v>
      </x:c>
      <x:c r="F15" s="54" t="n">
        <x:v>576.26</x:v>
      </x:c>
      <x:c r="G15" s="97"/>
      <x:c r="H15" s="97"/>
      <x:c r="I15" s="97"/>
      <x:c r="J15" s="97"/>
      <x:c r="K15" s="97"/>
      <x:c r="L15" s="97"/>
      <x:c r="M15" s="97"/>
      <x:c r="N15" s="97"/>
    </x:row>
    <x:row r="16">
      <x:c r="A16" s="51" t="str">
        <x:v>Oct 11</x:v>
      </x:c>
      <x:c r="B16" s="52" t="n">
        <x:v>1154979.3</x:v>
      </x:c>
      <x:c r="C16" s="53" t="n">
        <x:v>2040</x:v>
      </x:c>
      <x:c r="D16" s="53" t="n">
        <x:v>1364</x:v>
      </x:c>
      <x:c r="E16" s="53" t="n">
        <x:v>623401</x:v>
      </x:c>
      <x:c r="F16" s="54" t="n">
        <x:v>566.17</x:v>
      </x:c>
      <x:c r="G16" s="97"/>
      <x:c r="H16" s="97"/>
      <x:c r="I16" s="97"/>
      <x:c r="J16" s="97"/>
      <x:c r="K16" s="97"/>
      <x:c r="L16" s="97"/>
      <x:c r="M16" s="97"/>
      <x:c r="N16" s="97"/>
    </x:row>
    <x:row r="17">
      <x:c r="A17" s="51" t="str">
        <x:v>Nov 11</x:v>
      </x:c>
      <x:c r="B17" s="52" t="n">
        <x:v>1509496.33</x:v>
      </x:c>
      <x:c r="C17" s="53" t="n">
        <x:v>2769</x:v>
      </x:c>
      <x:c r="D17" s="53" t="n">
        <x:v>1664</x:v>
      </x:c>
      <x:c r="E17" s="53" t="n">
        <x:v>754507</x:v>
      </x:c>
      <x:c r="F17" s="54" t="n">
        <x:v>545.14</x:v>
      </x:c>
      <x:c r="G17" s="97"/>
      <x:c r="H17" s="97"/>
      <x:c r="I17" s="97"/>
      <x:c r="J17" s="97"/>
      <x:c r="K17" s="97"/>
      <x:c r="L17" s="97"/>
      <x:c r="M17" s="97"/>
      <x:c r="N17" s="97"/>
    </x:row>
    <x:row r="18">
      <x:c r="A18" s="51" t="str">
        <x:v>Dec 11</x:v>
      </x:c>
      <x:c r="B18" s="52" t="n">
        <x:v>638792.68</x:v>
      </x:c>
      <x:c r="C18" s="53" t="n">
        <x:v>819</x:v>
      </x:c>
      <x:c r="D18" s="53" t="n">
        <x:v>615</x:v>
      </x:c>
      <x:c r="E18" s="53" t="n">
        <x:v>314248</x:v>
      </x:c>
      <x:c r="F18" s="54" t="n">
        <x:v>779.97</x:v>
      </x:c>
      <x:c r="G18" s="97"/>
      <x:c r="H18" s="97"/>
      <x:c r="I18" s="97"/>
      <x:c r="J18" s="97"/>
      <x:c r="K18" s="97"/>
      <x:c r="L18" s="97"/>
      <x:c r="M18" s="97"/>
      <x:c r="N18" s="97"/>
    </x:row>
  </x:sheetData>
  <x:pageMargins left="0.7" right="0.7" top="0.75" bottom="0.75" header="0.3" footer="0.3"/>
  <x:tableParts count="1">
    <x:tablePart xmlns:r="http://schemas.openxmlformats.org/officeDocument/2006/relationships" r:id="R5e834283ca3f48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6" hidden="0" customWidth="1"/>
  </x:cols>
  <x:sheetData>
    <x:row r="2">
      <x:c r="A2" s="94" t="str">
        <x:v>Market performance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Top markets ranked by revenue; UK retained as the domestic benchmark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country</x:v>
      </x:c>
      <x:c r="B5" s="51" t="str">
        <x:v>market_type</x:v>
      </x:c>
      <x:c r="C5" s="51" t="str">
        <x:v>revenue</x:v>
      </x:c>
      <x:c r="D5" s="51" t="str">
        <x:v>orders</x:v>
      </x:c>
      <x:c r="E5" s="51" t="str">
        <x:v>customers</x:v>
      </x:c>
      <x:c r="F5" s="51" t="str">
        <x:v>average_order_value</x:v>
      </x:c>
      <x:c r="G5" s="51" t="str">
        <x:v>revenue_share</x:v>
      </x:c>
      <x:c r="H5" s="97"/>
      <x:c r="I5" s="97"/>
      <x:c r="J5" s="97"/>
      <x:c r="K5" s="97"/>
      <x:c r="L5" s="97"/>
      <x:c r="M5" s="97"/>
      <x:c r="N5" s="97"/>
    </x:row>
    <x:row r="6">
      <x:c r="A6" s="51" t="str">
        <x:v>United Kingdom</x:v>
      </x:c>
      <x:c r="B6" s="51" t="str">
        <x:v>Domestic</x:v>
      </x:c>
      <x:c r="C6" s="52" t="n">
        <x:v>9025222.08</x:v>
      </x:c>
      <x:c r="D6" s="53" t="n">
        <x:v>18019</x:v>
      </x:c>
      <x:c r="E6" s="53" t="n">
        <x:v>3920</x:v>
      </x:c>
      <x:c r="F6" s="54" t="n">
        <x:v>500.87</x:v>
      </x:c>
      <x:c r="G6" s="55" t="n">
        <x:v>0.8461</x:v>
      </x:c>
      <x:c r="H6" s="97"/>
      <x:c r="I6" s="97"/>
      <x:c r="J6" s="97"/>
      <x:c r="K6" s="97"/>
      <x:c r="L6" s="97"/>
      <x:c r="M6" s="97"/>
      <x:c r="N6" s="97"/>
    </x:row>
    <x:row r="7">
      <x:c r="A7" s="51" t="str">
        <x:v>Netherlands</x:v>
      </x:c>
      <x:c r="B7" s="51" t="str">
        <x:v>International</x:v>
      </x:c>
      <x:c r="C7" s="52" t="n">
        <x:v>285446.34</x:v>
      </x:c>
      <x:c r="D7" s="53" t="n">
        <x:v>94</x:v>
      </x:c>
      <x:c r="E7" s="53" t="n">
        <x:v>9</x:v>
      </x:c>
      <x:c r="F7" s="54" t="n">
        <x:v>3036.66</x:v>
      </x:c>
      <x:c r="G7" s="55" t="n">
        <x:v>0.0268</x:v>
      </x:c>
      <x:c r="H7" s="97"/>
      <x:c r="I7" s="97"/>
      <x:c r="J7" s="97"/>
      <x:c r="K7" s="97"/>
      <x:c r="L7" s="97"/>
      <x:c r="M7" s="97"/>
      <x:c r="N7" s="97"/>
    </x:row>
    <x:row r="8">
      <x:c r="A8" s="51" t="str">
        <x:v>EIRE</x:v>
      </x:c>
      <x:c r="B8" s="51" t="str">
        <x:v>International</x:v>
      </x:c>
      <x:c r="C8" s="52" t="n">
        <x:v>283453.96</x:v>
      </x:c>
      <x:c r="D8" s="53" t="n">
        <x:v>288</x:v>
      </x:c>
      <x:c r="E8" s="53" t="n">
        <x:v>3</x:v>
      </x:c>
      <x:c r="F8" s="54" t="n">
        <x:v>984.22</x:v>
      </x:c>
      <x:c r="G8" s="55" t="n">
        <x:v>0.0266</x:v>
      </x:c>
      <x:c r="H8" s="97"/>
      <x:c r="I8" s="97"/>
      <x:c r="J8" s="97"/>
      <x:c r="K8" s="97"/>
      <x:c r="L8" s="97"/>
      <x:c r="M8" s="97"/>
      <x:c r="N8" s="97"/>
    </x:row>
    <x:row r="9">
      <x:c r="A9" s="51" t="str">
        <x:v>Germany</x:v>
      </x:c>
      <x:c r="B9" s="51" t="str">
        <x:v>International</x:v>
      </x:c>
      <x:c r="C9" s="52" t="n">
        <x:v>228867.14</x:v>
      </x:c>
      <x:c r="D9" s="53" t="n">
        <x:v>457</x:v>
      </x:c>
      <x:c r="E9" s="53" t="n">
        <x:v>94</x:v>
      </x:c>
      <x:c r="F9" s="54" t="n">
        <x:v>500.8</x:v>
      </x:c>
      <x:c r="G9" s="55" t="n">
        <x:v>0.0215</x:v>
      </x:c>
      <x:c r="H9" s="97"/>
      <x:c r="I9" s="97"/>
      <x:c r="J9" s="97"/>
      <x:c r="K9" s="97"/>
      <x:c r="L9" s="97"/>
      <x:c r="M9" s="97"/>
      <x:c r="N9" s="97"/>
    </x:row>
    <x:row r="10">
      <x:c r="A10" s="51" t="str">
        <x:v>France</x:v>
      </x:c>
      <x:c r="B10" s="51" t="str">
        <x:v>International</x:v>
      </x:c>
      <x:c r="C10" s="52" t="n">
        <x:v>209715.11</x:v>
      </x:c>
      <x:c r="D10" s="53" t="n">
        <x:v>392</x:v>
      </x:c>
      <x:c r="E10" s="53" t="n">
        <x:v>87</x:v>
      </x:c>
      <x:c r="F10" s="54" t="n">
        <x:v>534.99</x:v>
      </x:c>
      <x:c r="G10" s="55" t="n">
        <x:v>0.0197</x:v>
      </x:c>
      <x:c r="H10" s="97"/>
      <x:c r="I10" s="97"/>
      <x:c r="J10" s="97"/>
      <x:c r="K10" s="97"/>
      <x:c r="L10" s="97"/>
      <x:c r="M10" s="97"/>
      <x:c r="N10" s="97"/>
    </x:row>
    <x:row r="11">
      <x:c r="A11" s="51" t="str">
        <x:v>Australia</x:v>
      </x:c>
      <x:c r="B11" s="51" t="str">
        <x:v>International</x:v>
      </x:c>
      <x:c r="C11" s="52" t="n">
        <x:v>138521.31</x:v>
      </x:c>
      <x:c r="D11" s="53" t="n">
        <x:v>57</x:v>
      </x:c>
      <x:c r="E11" s="53" t="n">
        <x:v>9</x:v>
      </x:c>
      <x:c r="F11" s="54" t="n">
        <x:v>2430.2</x:v>
      </x:c>
      <x:c r="G11" s="55" t="n">
        <x:v>0.013</x:v>
      </x:c>
      <x:c r="H11" s="97"/>
      <x:c r="I11" s="97"/>
      <x:c r="J11" s="97"/>
      <x:c r="K11" s="97"/>
      <x:c r="L11" s="97"/>
      <x:c r="M11" s="97"/>
      <x:c r="N11" s="97"/>
    </x:row>
    <x:row r="12">
      <x:c r="A12" s="51" t="str">
        <x:v>Spain</x:v>
      </x:c>
      <x:c r="B12" s="51" t="str">
        <x:v>International</x:v>
      </x:c>
      <x:c r="C12" s="52" t="n">
        <x:v>61577.11</x:v>
      </x:c>
      <x:c r="D12" s="53" t="n">
        <x:v>90</x:v>
      </x:c>
      <x:c r="E12" s="53" t="n">
        <x:v>30</x:v>
      </x:c>
      <x:c r="F12" s="54" t="n">
        <x:v>684.19</x:v>
      </x:c>
      <x:c r="G12" s="55" t="n">
        <x:v>0.0058</x:v>
      </x:c>
      <x:c r="H12" s="97"/>
      <x:c r="I12" s="97"/>
      <x:c r="J12" s="97"/>
      <x:c r="K12" s="97"/>
      <x:c r="L12" s="97"/>
      <x:c r="M12" s="97"/>
      <x:c r="N12" s="97"/>
    </x:row>
    <x:row r="13">
      <x:c r="A13" s="51" t="str">
        <x:v>Switzerland</x:v>
      </x:c>
      <x:c r="B13" s="51" t="str">
        <x:v>International</x:v>
      </x:c>
      <x:c r="C13" s="52" t="n">
        <x:v>57089.9</x:v>
      </x:c>
      <x:c r="D13" s="53" t="n">
        <x:v>54</x:v>
      </x:c>
      <x:c r="E13" s="53" t="n">
        <x:v>21</x:v>
      </x:c>
      <x:c r="F13" s="54" t="n">
        <x:v>1057.22</x:v>
      </x:c>
      <x:c r="G13" s="55" t="n">
        <x:v>0.0054</x:v>
      </x:c>
      <x:c r="H13" s="97"/>
      <x:c r="I13" s="97"/>
      <x:c r="J13" s="97"/>
      <x:c r="K13" s="97"/>
      <x:c r="L13" s="97"/>
      <x:c r="M13" s="97"/>
      <x:c r="N13" s="97"/>
    </x:row>
    <x:row r="14">
      <x:c r="A14" s="51" t="str">
        <x:v>Belgium</x:v>
      </x:c>
      <x:c r="B14" s="51" t="str">
        <x:v>International</x:v>
      </x:c>
      <x:c r="C14" s="52" t="n">
        <x:v>41196.34</x:v>
      </x:c>
      <x:c r="D14" s="53" t="n">
        <x:v>98</x:v>
      </x:c>
      <x:c r="E14" s="53" t="n">
        <x:v>25</x:v>
      </x:c>
      <x:c r="F14" s="54" t="n">
        <x:v>420.37</x:v>
      </x:c>
      <x:c r="G14" s="55" t="n">
        <x:v>0.0039</x:v>
      </x:c>
      <x:c r="H14" s="97"/>
      <x:c r="I14" s="97"/>
      <x:c r="J14" s="97"/>
      <x:c r="K14" s="97"/>
      <x:c r="L14" s="97"/>
      <x:c r="M14" s="97"/>
      <x:c r="N14" s="97"/>
    </x:row>
    <x:row r="15">
      <x:c r="A15" s="51" t="str">
        <x:v>Sweden</x:v>
      </x:c>
      <x:c r="B15" s="51" t="str">
        <x:v>International</x:v>
      </x:c>
      <x:c r="C15" s="52" t="n">
        <x:v>38378.33</x:v>
      </x:c>
      <x:c r="D15" s="53" t="n">
        <x:v>36</x:v>
      </x:c>
      <x:c r="E15" s="53" t="n">
        <x:v>8</x:v>
      </x:c>
      <x:c r="F15" s="54" t="n">
        <x:v>1066.06</x:v>
      </x:c>
      <x:c r="G15" s="55" t="n">
        <x:v>0.0036</x:v>
      </x:c>
      <x:c r="H15" s="97"/>
      <x:c r="I15" s="97"/>
      <x:c r="J15" s="97"/>
      <x:c r="K15" s="97"/>
      <x:c r="L15" s="97"/>
      <x:c r="M15" s="97"/>
      <x:c r="N15" s="97"/>
    </x:row>
    <x:row r="16">
      <x:c r="A16" s="51" t="str">
        <x:v>Japan</x:v>
      </x:c>
      <x:c r="B16" s="51" t="str">
        <x:v>International</x:v>
      </x:c>
      <x:c r="C16" s="52" t="n">
        <x:v>37416.37</x:v>
      </x:c>
      <x:c r="D16" s="53" t="n">
        <x:v>19</x:v>
      </x:c>
      <x:c r="E16" s="53" t="n">
        <x:v>8</x:v>
      </x:c>
      <x:c r="F16" s="54" t="n">
        <x:v>1969.28</x:v>
      </x:c>
      <x:c r="G16" s="55" t="n">
        <x:v>0.0035</x:v>
      </x:c>
      <x:c r="H16" s="97"/>
      <x:c r="I16" s="97"/>
      <x:c r="J16" s="97"/>
      <x:c r="K16" s="97"/>
      <x:c r="L16" s="97"/>
      <x:c r="M16" s="97"/>
      <x:c r="N16" s="97"/>
    </x:row>
    <x:row r="17">
      <x:c r="A17" s="51" t="str">
        <x:v>Norway</x:v>
      </x:c>
      <x:c r="B17" s="51" t="str">
        <x:v>International</x:v>
      </x:c>
      <x:c r="C17" s="52" t="n">
        <x:v>36165.44</x:v>
      </x:c>
      <x:c r="D17" s="53" t="n">
        <x:v>36</x:v>
      </x:c>
      <x:c r="E17" s="53" t="n">
        <x:v>10</x:v>
      </x:c>
      <x:c r="F17" s="54" t="n">
        <x:v>1004.6</x:v>
      </x:c>
      <x:c r="G17" s="55" t="n">
        <x:v>0.0034</x:v>
      </x:c>
      <x:c r="H17" s="97"/>
      <x:c r="I17" s="97"/>
      <x:c r="J17" s="97"/>
      <x:c r="K17" s="97"/>
      <x:c r="L17" s="97"/>
      <x:c r="M17" s="97"/>
      <x:c r="N17" s="97"/>
    </x:row>
    <x:row r="18">
      <x:c r="A18" s="51" t="str">
        <x:v>Portugal</x:v>
      </x:c>
      <x:c r="B18" s="51" t="str">
        <x:v>International</x:v>
      </x:c>
      <x:c r="C18" s="52" t="n">
        <x:v>33747.1</x:v>
      </x:c>
      <x:c r="D18" s="53" t="n">
        <x:v>58</x:v>
      </x:c>
      <x:c r="E18" s="53" t="n">
        <x:v>19</x:v>
      </x:c>
      <x:c r="F18" s="54" t="n">
        <x:v>581.85</x:v>
      </x:c>
      <x:c r="G18" s="55" t="n">
        <x:v>0.0032</x:v>
      </x:c>
      <x:c r="H18" s="97"/>
      <x:c r="I18" s="97"/>
      <x:c r="J18" s="97"/>
      <x:c r="K18" s="97"/>
      <x:c r="L18" s="97"/>
      <x:c r="M18" s="97"/>
      <x:c r="N18" s="97"/>
    </x:row>
    <x:row r="19">
      <x:c r="A19" s="51" t="str">
        <x:v>Finland</x:v>
      </x:c>
      <x:c r="B19" s="51" t="str">
        <x:v>International</x:v>
      </x:c>
      <x:c r="C19" s="52" t="n">
        <x:v>22546.08</x:v>
      </x:c>
      <x:c r="D19" s="53" t="n">
        <x:v>41</x:v>
      </x:c>
      <x:c r="E19" s="53" t="n">
        <x:v>12</x:v>
      </x:c>
      <x:c r="F19" s="54" t="n">
        <x:v>549.9</x:v>
      </x:c>
      <x:c r="G19" s="55" t="n">
        <x:v>0.0021</x:v>
      </x:c>
      <x:c r="H19" s="97"/>
      <x:c r="I19" s="97"/>
      <x:c r="J19" s="97"/>
      <x:c r="K19" s="97"/>
      <x:c r="L19" s="97"/>
      <x:c r="M19" s="97"/>
      <x:c r="N19" s="97"/>
    </x:row>
    <x:row r="20">
      <x:c r="A20" s="51" t="str">
        <x:v>Singapore</x:v>
      </x:c>
      <x:c r="B20" s="51" t="str">
        <x:v>International</x:v>
      </x:c>
      <x:c r="C20" s="52" t="n">
        <x:v>21279.29</x:v>
      </x:c>
      <x:c r="D20" s="53" t="n">
        <x:v>7</x:v>
      </x:c>
      <x:c r="E20" s="53" t="n">
        <x:v>1</x:v>
      </x:c>
      <x:c r="F20" s="54" t="n">
        <x:v>3039.9</x:v>
      </x:c>
      <x:c r="G20" s="55" t="n">
        <x:v>0.002</x:v>
      </x:c>
      <x:c r="H20" s="97"/>
      <x:c r="I20" s="97"/>
      <x:c r="J20" s="97"/>
      <x:c r="K20" s="97"/>
      <x:c r="L20" s="97"/>
      <x:c r="M20" s="97"/>
      <x:c r="N20" s="97"/>
    </x:row>
    <x:row r="21">
      <x:c r="A21" s="51" t="str">
        <x:v>Channel Islands</x:v>
      </x:c>
      <x:c r="B21" s="51" t="str">
        <x:v>International</x:v>
      </x:c>
      <x:c r="C21" s="52" t="n">
        <x:v>20450.44</x:v>
      </x:c>
      <x:c r="D21" s="53" t="n">
        <x:v>26</x:v>
      </x:c>
      <x:c r="E21" s="53" t="n">
        <x:v>9</x:v>
      </x:c>
      <x:c r="F21" s="54" t="n">
        <x:v>786.56</x:v>
      </x:c>
      <x:c r="G21" s="55" t="n">
        <x:v>0.0019</x:v>
      </x:c>
      <x:c r="H21" s="97"/>
      <x:c r="I21" s="97"/>
      <x:c r="J21" s="97"/>
      <x:c r="K21" s="97"/>
      <x:c r="L21" s="97"/>
      <x:c r="M21" s="97"/>
      <x:c r="N21" s="97"/>
    </x:row>
  </x:sheetData>
  <x:pageMargins left="0.7" right="0.7" top="0.75" bottom="0.75" header="0.3" footer="0.3"/>
  <x:tableParts count="1">
    <x:tablePart xmlns:r="http://schemas.openxmlformats.org/officeDocument/2006/relationships" r:id="Rcac657b37b0745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</x:cols>
  <x:sheetData>
    <x:row r="2">
      <x:c r="A2" s="94" t="str">
        <x:v>Top merchandise products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Services and accounting adjustments excluded from product ranking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product_id</x:v>
      </x:c>
      <x:c r="B5" s="51" t="str">
        <x:v>product_description</x:v>
      </x:c>
      <x:c r="C5" s="51" t="str">
        <x:v>units_sold</x:v>
      </x:c>
      <x:c r="D5" s="51" t="str">
        <x:v>revenue</x:v>
      </x:c>
      <x:c r="E5" s="51" t="str">
        <x:v>orders</x:v>
      </x:c>
      <x:c r="F5" s="51" t="str">
        <x:v>customers</x:v>
      </x:c>
      <x:c r="G5" s="97"/>
      <x:c r="H5" s="97"/>
      <x:c r="I5" s="97"/>
      <x:c r="J5" s="97"/>
      <x:c r="K5" s="97"/>
      <x:c r="L5" s="97"/>
      <x:c r="M5" s="97"/>
      <x:c r="N5" s="97"/>
    </x:row>
    <x:row r="6">
      <x:c r="A6" s="51" t="str">
        <x:v>22423</x:v>
      </x:c>
      <x:c r="B6" s="51" t="str">
        <x:v>REGENCY CAKESTAND 3 TIER</x:v>
      </x:c>
      <x:c r="C6" s="53" t="n">
        <x:v>13879</x:v>
      </x:c>
      <x:c r="D6" s="52" t="n">
        <x:v>174484.74</x:v>
      </x:c>
      <x:c r="E6" s="53" t="n">
        <x:v>1988</x:v>
      </x:c>
      <x:c r="F6" s="53" t="n">
        <x:v>881</x:v>
      </x:c>
      <x:c r="G6" s="97"/>
      <x:c r="H6" s="97"/>
      <x:c r="I6" s="97"/>
      <x:c r="J6" s="97"/>
      <x:c r="K6" s="97"/>
      <x:c r="L6" s="97"/>
      <x:c r="M6" s="97"/>
      <x:c r="N6" s="97"/>
    </x:row>
    <x:row r="7">
      <x:c r="A7" s="51" t="str">
        <x:v>23843</x:v>
      </x:c>
      <x:c r="B7" s="51" t="str">
        <x:v>PAPER CRAFT , LITTLE BIRDIE</x:v>
      </x:c>
      <x:c r="C7" s="53" t="n">
        <x:v>80995</x:v>
      </x:c>
      <x:c r="D7" s="52" t="n">
        <x:v>168469.6</x:v>
      </x:c>
      <x:c r="E7" s="53" t="n">
        <x:v>1</x:v>
      </x:c>
      <x:c r="F7" s="53" t="n">
        <x:v>1</x:v>
      </x:c>
      <x:c r="G7" s="97"/>
      <x:c r="H7" s="97"/>
      <x:c r="I7" s="97"/>
      <x:c r="J7" s="97"/>
      <x:c r="K7" s="97"/>
      <x:c r="L7" s="97"/>
      <x:c r="M7" s="97"/>
      <x:c r="N7" s="97"/>
    </x:row>
    <x:row r="8">
      <x:c r="A8" s="51" t="str">
        <x:v>85123A</x:v>
      </x:c>
      <x:c r="B8" s="51" t="str">
        <x:v>CREAM HANGING HEART T-LIGHT HOLDER</x:v>
      </x:c>
      <x:c r="C8" s="53" t="n">
        <x:v>37660</x:v>
      </x:c>
      <x:c r="D8" s="52" t="n">
        <x:v>104518.8</x:v>
      </x:c>
      <x:c r="E8" s="53" t="n">
        <x:v>2198</x:v>
      </x:c>
      <x:c r="F8" s="53" t="n">
        <x:v>856</x:v>
      </x:c>
      <x:c r="G8" s="97"/>
      <x:c r="H8" s="97"/>
      <x:c r="I8" s="97"/>
      <x:c r="J8" s="97"/>
      <x:c r="K8" s="97"/>
      <x:c r="L8" s="97"/>
      <x:c r="M8" s="97"/>
      <x:c r="N8" s="97"/>
    </x:row>
    <x:row r="9">
      <x:c r="A9" s="51" t="str">
        <x:v>47566</x:v>
      </x:c>
      <x:c r="B9" s="51" t="str">
        <x:v>PARTY BUNTING</x:v>
      </x:c>
      <x:c r="C9" s="53" t="n">
        <x:v>18295</x:v>
      </x:c>
      <x:c r="D9" s="52" t="n">
        <x:v>99504.33</x:v>
      </x:c>
      <x:c r="E9" s="53" t="n">
        <x:v>1685</x:v>
      </x:c>
      <x:c r="F9" s="53" t="n">
        <x:v>708</x:v>
      </x:c>
      <x:c r="G9" s="97"/>
      <x:c r="H9" s="97"/>
      <x:c r="I9" s="97"/>
      <x:c r="J9" s="97"/>
      <x:c r="K9" s="97"/>
      <x:c r="L9" s="97"/>
      <x:c r="M9" s="97"/>
      <x:c r="N9" s="97"/>
    </x:row>
    <x:row r="10">
      <x:c r="A10" s="51" t="str">
        <x:v>85099B</x:v>
      </x:c>
      <x:c r="B10" s="51" t="str">
        <x:v>JUMBO BAG RED RETROSPOT</x:v>
      </x:c>
      <x:c r="C10" s="53" t="n">
        <x:v>48474</x:v>
      </x:c>
      <x:c r="D10" s="52" t="n">
        <x:v>94340.05</x:v>
      </x:c>
      <x:c r="E10" s="53" t="n">
        <x:v>2089</x:v>
      </x:c>
      <x:c r="F10" s="53" t="n">
        <x:v>635</x:v>
      </x:c>
      <x:c r="G10" s="97"/>
      <x:c r="H10" s="97"/>
      <x:c r="I10" s="97"/>
      <x:c r="J10" s="97"/>
      <x:c r="K10" s="97"/>
      <x:c r="L10" s="97"/>
      <x:c r="M10" s="97"/>
      <x:c r="N10" s="97"/>
    </x:row>
    <x:row r="11">
      <x:c r="A11" s="51" t="str">
        <x:v>23166</x:v>
      </x:c>
      <x:c r="B11" s="51" t="str">
        <x:v>MEDIUM CERAMIC TOP STORAGE JAR</x:v>
      </x:c>
      <x:c r="C11" s="53" t="n">
        <x:v>78033</x:v>
      </x:c>
      <x:c r="D11" s="52" t="n">
        <x:v>81700.92</x:v>
      </x:c>
      <x:c r="E11" s="53" t="n">
        <x:v>247</x:v>
      </x:c>
      <x:c r="F11" s="53" t="n">
        <x:v>138</x:v>
      </x:c>
      <x:c r="G11" s="97"/>
      <x:c r="H11" s="97"/>
      <x:c r="I11" s="97"/>
      <x:c r="J11" s="97"/>
      <x:c r="K11" s="97"/>
      <x:c r="L11" s="97"/>
      <x:c r="M11" s="97"/>
      <x:c r="N11" s="97"/>
    </x:row>
    <x:row r="12">
      <x:c r="A12" s="51" t="str">
        <x:v>23084</x:v>
      </x:c>
      <x:c r="B12" s="51" t="str">
        <x:v>RABBIT NIGHT LIGHT</x:v>
      </x:c>
      <x:c r="C12" s="53" t="n">
        <x:v>30788</x:v>
      </x:c>
      <x:c r="D12" s="52" t="n">
        <x:v>66964.99</x:v>
      </x:c>
      <x:c r="E12" s="53" t="n">
        <x:v>994</x:v>
      </x:c>
      <x:c r="F12" s="53" t="n">
        <x:v>450</x:v>
      </x:c>
      <x:c r="G12" s="97"/>
      <x:c r="H12" s="97"/>
      <x:c r="I12" s="97"/>
      <x:c r="J12" s="97"/>
      <x:c r="K12" s="97"/>
      <x:c r="L12" s="97"/>
      <x:c r="M12" s="97"/>
      <x:c r="N12" s="97"/>
    </x:row>
    <x:row r="13">
      <x:c r="A13" s="51" t="str">
        <x:v>22086</x:v>
      </x:c>
      <x:c r="B13" s="51" t="str">
        <x:v>PAPER CHAIN KIT 50'S CHRISTMAS</x:v>
      </x:c>
      <x:c r="C13" s="53" t="n">
        <x:v>19355</x:v>
      </x:c>
      <x:c r="D13" s="52" t="n">
        <x:v>64952.29</x:v>
      </x:c>
      <x:c r="E13" s="53" t="n">
        <x:v>1160</x:v>
      </x:c>
      <x:c r="F13" s="53" t="n">
        <x:v>613</x:v>
      </x:c>
      <x:c r="G13" s="97"/>
      <x:c r="H13" s="97"/>
      <x:c r="I13" s="97"/>
      <x:c r="J13" s="97"/>
      <x:c r="K13" s="97"/>
      <x:c r="L13" s="97"/>
      <x:c r="M13" s="97"/>
      <x:c r="N13" s="97"/>
    </x:row>
    <x:row r="14">
      <x:c r="A14" s="51" t="str">
        <x:v>84879</x:v>
      </x:c>
      <x:c r="B14" s="51" t="str">
        <x:v>ASSORTED COLOUR BIRD ORNAMENT</x:v>
      </x:c>
      <x:c r="C14" s="53" t="n">
        <x:v>36461</x:v>
      </x:c>
      <x:c r="D14" s="52" t="n">
        <x:v>59094.93</x:v>
      </x:c>
      <x:c r="E14" s="53" t="n">
        <x:v>1455</x:v>
      </x:c>
      <x:c r="F14" s="53" t="n">
        <x:v>678</x:v>
      </x:c>
      <x:c r="G14" s="97"/>
      <x:c r="H14" s="97"/>
      <x:c r="I14" s="97"/>
      <x:c r="J14" s="97"/>
      <x:c r="K14" s="97"/>
      <x:c r="L14" s="97"/>
      <x:c r="M14" s="97"/>
      <x:c r="N14" s="97"/>
    </x:row>
    <x:row r="15">
      <x:c r="A15" s="51" t="str">
        <x:v>79321</x:v>
      </x:c>
      <x:c r="B15" s="51" t="str">
        <x:v>CHILLI LIGHTS</x:v>
      </x:c>
      <x:c r="C15" s="53" t="n">
        <x:v>10306</x:v>
      </x:c>
      <x:c r="D15" s="52" t="n">
        <x:v>54117.76</x:v>
      </x:c>
      <x:c r="E15" s="53" t="n">
        <x:v>661</x:v>
      </x:c>
      <x:c r="F15" s="53" t="n">
        <x:v>205</x:v>
      </x:c>
      <x:c r="G15" s="97"/>
      <x:c r="H15" s="97"/>
      <x:c r="I15" s="97"/>
      <x:c r="J15" s="97"/>
      <x:c r="K15" s="97"/>
      <x:c r="L15" s="97"/>
      <x:c r="M15" s="97"/>
      <x:c r="N15" s="97"/>
    </x:row>
    <x:row r="16">
      <x:c r="A16" s="51" t="str">
        <x:v>22502</x:v>
      </x:c>
      <x:c r="B16" s="51" t="str">
        <x:v>PICNIC BASKET WICKER SMALL</x:v>
      </x:c>
      <x:c r="C16" s="53" t="n">
        <x:v>1940</x:v>
      </x:c>
      <x:c r="D16" s="52" t="n">
        <x:v>51426.62</x:v>
      </x:c>
      <x:c r="E16" s="53" t="n">
        <x:v>463</x:v>
      </x:c>
      <x:c r="F16" s="53" t="n">
        <x:v>175</x:v>
      </x:c>
      <x:c r="G16" s="97"/>
      <x:c r="H16" s="97"/>
      <x:c r="I16" s="97"/>
      <x:c r="J16" s="97"/>
      <x:c r="K16" s="97"/>
      <x:c r="L16" s="97"/>
      <x:c r="M16" s="97"/>
      <x:c r="N16" s="97"/>
    </x:row>
    <x:row r="17">
      <x:c r="A17" s="51" t="str">
        <x:v>22197</x:v>
      </x:c>
      <x:c r="B17" s="51" t="str">
        <x:v>POPCORN HOLDER</x:v>
      </x:c>
      <x:c r="C17" s="53" t="n">
        <x:v>56921</x:v>
      </x:c>
      <x:c r="D17" s="52" t="n">
        <x:v>51354.02</x:v>
      </x:c>
      <x:c r="E17" s="53" t="n">
        <x:v>1392</x:v>
      </x:c>
      <x:c r="F17" s="53" t="n">
        <x:v>407</x:v>
      </x:c>
      <x:c r="G17" s="97"/>
      <x:c r="H17" s="97"/>
      <x:c r="I17" s="97"/>
      <x:c r="J17" s="97"/>
      <x:c r="K17" s="97"/>
      <x:c r="L17" s="97"/>
      <x:c r="M17" s="97"/>
      <x:c r="N17" s="97"/>
    </x:row>
    <x:row r="18">
      <x:c r="A18" s="51" t="str">
        <x:v>23298</x:v>
      </x:c>
      <x:c r="B18" s="51" t="str">
        <x:v>SPOTTY BUNTING</x:v>
      </x:c>
      <x:c r="C18" s="53" t="n">
        <x:v>8473</x:v>
      </x:c>
      <x:c r="D18" s="52" t="n">
        <x:v>43182.83</x:v>
      </x:c>
      <x:c r="E18" s="53" t="n">
        <x:v>1146</x:v>
      </x:c>
      <x:c r="F18" s="53" t="n">
        <x:v>573</x:v>
      </x:c>
      <x:c r="G18" s="97"/>
      <x:c r="H18" s="97"/>
      <x:c r="I18" s="97"/>
      <x:c r="J18" s="97"/>
      <x:c r="K18" s="97"/>
      <x:c r="L18" s="97"/>
      <x:c r="M18" s="97"/>
      <x:c r="N18" s="97"/>
    </x:row>
    <x:row r="19">
      <x:c r="A19" s="51" t="str">
        <x:v>22386</x:v>
      </x:c>
      <x:c r="B19" s="51" t="str">
        <x:v>JUMBO BAG PINK POLKADOT</x:v>
      </x:c>
      <x:c r="C19" s="53" t="n">
        <x:v>21465</x:v>
      </x:c>
      <x:c r="D19" s="52" t="n">
        <x:v>42436.24</x:v>
      </x:c>
      <x:c r="E19" s="53" t="n">
        <x:v>1218</x:v>
      </x:c>
      <x:c r="F19" s="53" t="n">
        <x:v>372</x:v>
      </x:c>
      <x:c r="G19" s="97"/>
      <x:c r="H19" s="97"/>
      <x:c r="I19" s="97"/>
      <x:c r="J19" s="97"/>
      <x:c r="K19" s="97"/>
      <x:c r="L19" s="97"/>
      <x:c r="M19" s="97"/>
      <x:c r="N19" s="97"/>
    </x:row>
    <x:row r="20">
      <x:c r="A20" s="51" t="str">
        <x:v>23203</x:v>
      </x:c>
      <x:c r="B20" s="51" t="str">
        <x:v>JUMBO BAG VINTAGE DOILY</x:v>
      </x:c>
      <x:c r="C20" s="53" t="n">
        <x:v>20503</x:v>
      </x:c>
      <x:c r="D20" s="52" t="n">
        <x:v>42067.78</x:v>
      </x:c>
      <x:c r="E20" s="53" t="n">
        <x:v>1231</x:v>
      </x:c>
      <x:c r="F20" s="53" t="n">
        <x:v>505</x:v>
      </x:c>
      <x:c r="G20" s="97"/>
      <x:c r="H20" s="97"/>
      <x:c r="I20" s="97"/>
      <x:c r="J20" s="97"/>
      <x:c r="K20" s="97"/>
      <x:c r="L20" s="97"/>
      <x:c r="M20" s="97"/>
      <x:c r="N20" s="97"/>
    </x:row>
    <x:row r="21">
      <x:c r="A21" s="51" t="str">
        <x:v>21137</x:v>
      </x:c>
      <x:c r="B21" s="51" t="str">
        <x:v>BLACK RECORD COVER FRAME</x:v>
      </x:c>
      <x:c r="C21" s="53" t="n">
        <x:v>11656</x:v>
      </x:c>
      <x:c r="D21" s="52" t="n">
        <x:v>40652.13</x:v>
      </x:c>
      <x:c r="E21" s="53" t="n">
        <x:v>375</x:v>
      </x:c>
      <x:c r="F21" s="53" t="n">
        <x:v>140</x:v>
      </x:c>
      <x:c r="G21" s="97"/>
      <x:c r="H21" s="97"/>
      <x:c r="I21" s="97"/>
      <x:c r="J21" s="97"/>
      <x:c r="K21" s="97"/>
      <x:c r="L21" s="97"/>
      <x:c r="M21" s="97"/>
      <x:c r="N21" s="97"/>
    </x:row>
    <x:row r="22">
      <x:c r="A22" s="51" t="str">
        <x:v>23284</x:v>
      </x:c>
      <x:c r="B22" s="51" t="str">
        <x:v>DOORMAT KEEP CALM AND COME IN</x:v>
      </x:c>
      <x:c r="C22" s="53" t="n">
        <x:v>5491</x:v>
      </x:c>
      <x:c r="D22" s="52" t="n">
        <x:v>38166.64</x:v>
      </x:c>
      <x:c r="E22" s="53" t="n">
        <x:v>728</x:v>
      </x:c>
      <x:c r="F22" s="53" t="n">
        <x:v>378</x:v>
      </x:c>
      <x:c r="G22" s="97"/>
      <x:c r="H22" s="97"/>
      <x:c r="I22" s="97"/>
      <x:c r="J22" s="97"/>
      <x:c r="K22" s="97"/>
      <x:c r="L22" s="97"/>
      <x:c r="M22" s="97"/>
      <x:c r="N22" s="97"/>
    </x:row>
    <x:row r="23">
      <x:c r="A23" s="51" t="str">
        <x:v>22720</x:v>
      </x:c>
      <x:c r="B23" s="51" t="str">
        <x:v>SET OF 3 CAKE TINS PANTRY DESIGN</x:v>
      </x:c>
      <x:c r="C23" s="53" t="n">
        <x:v>7493</x:v>
      </x:c>
      <x:c r="D23" s="52" t="n">
        <x:v>38158.39</x:v>
      </x:c>
      <x:c r="E23" s="53" t="n">
        <x:v>1385</x:v>
      </x:c>
      <x:c r="F23" s="53" t="n">
        <x:v>640</x:v>
      </x:c>
      <x:c r="G23" s="97"/>
      <x:c r="H23" s="97"/>
      <x:c r="I23" s="97"/>
      <x:c r="J23" s="97"/>
      <x:c r="K23" s="97"/>
      <x:c r="L23" s="97"/>
      <x:c r="M23" s="97"/>
      <x:c r="N23" s="97"/>
    </x:row>
    <x:row r="24">
      <x:c r="A24" s="51" t="str">
        <x:v>22960</x:v>
      </x:c>
      <x:c r="B24" s="51" t="str">
        <x:v>JAM MAKING SET WITH JARS</x:v>
      </x:c>
      <x:c r="C24" s="53" t="n">
        <x:v>8706</x:v>
      </x:c>
      <x:c r="D24" s="52" t="n">
        <x:v>37128.88</x:v>
      </x:c>
      <x:c r="E24" s="53" t="n">
        <x:v>1132</x:v>
      </x:c>
      <x:c r="F24" s="53" t="n">
        <x:v>573</x:v>
      </x:c>
      <x:c r="G24" s="97"/>
      <x:c r="H24" s="97"/>
      <x:c r="I24" s="97"/>
      <x:c r="J24" s="97"/>
      <x:c r="K24" s="97"/>
      <x:c r="L24" s="97"/>
      <x:c r="M24" s="97"/>
      <x:c r="N24" s="97"/>
    </x:row>
    <x:row r="25">
      <x:c r="A25" s="51" t="str">
        <x:v>20725</x:v>
      </x:c>
      <x:c r="B25" s="51" t="str">
        <x:v>LUNCH BAG RED RETROSPOT</x:v>
      </x:c>
      <x:c r="C25" s="53" t="n">
        <x:v>19553</x:v>
      </x:c>
      <x:c r="D25" s="52" t="n">
        <x:v>36042.01</x:v>
      </x:c>
      <x:c r="E25" s="53" t="n">
        <x:v>1565</x:v>
      </x:c>
      <x:c r="F25" s="53" t="n">
        <x:v>532</x:v>
      </x:c>
      <x:c r="G25" s="97"/>
      <x:c r="H25" s="97"/>
      <x:c r="I25" s="97"/>
      <x:c r="J25" s="97"/>
      <x:c r="K25" s="97"/>
      <x:c r="L25" s="97"/>
      <x:c r="M25" s="97"/>
      <x:c r="N25" s="97"/>
    </x:row>
  </x:sheetData>
  <x:pageMargins left="0.7" right="0.7" top="0.75" bottom="0.75" header="0.3" footer="0.3"/>
  <x:tableParts count="1">
    <x:tablePart xmlns:r="http://schemas.openxmlformats.org/officeDocument/2006/relationships" r:id="R3d180f9338404c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8" hidden="0" customWidth="1"/>
    <x:col min="4" max="4" width="24" hidden="0" customWidth="1"/>
    <x:col min="5" max="5" width="18" hidden="0" customWidth="1"/>
  </x:cols>
  <x:sheetData>
    <x:row r="2">
      <x:c r="A2" s="94" t="str">
        <x:v>Customer segments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RFM segmentation based on recency, order frequency and monetary value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segment</x:v>
      </x:c>
      <x:c r="B5" s="51" t="str">
        <x:v>customers</x:v>
      </x:c>
      <x:c r="C5" s="51" t="str">
        <x:v>revenue</x:v>
      </x:c>
      <x:c r="D5" s="51" t="str">
        <x:v>median_recency_days</x:v>
      </x:c>
      <x:c r="E5" s="51" t="str">
        <x:v>median_orders</x:v>
      </x:c>
      <x:c r="F5" s="97"/>
      <x:c r="G5" s="97"/>
      <x:c r="H5" s="97"/>
      <x:c r="I5" s="97"/>
      <x:c r="J5" s="97"/>
      <x:c r="K5" s="97"/>
      <x:c r="L5" s="97"/>
      <x:c r="M5" s="97"/>
      <x:c r="N5" s="97"/>
    </x:row>
    <x:row r="6">
      <x:c r="A6" s="51" t="str">
        <x:v>Champions</x:v>
      </x:c>
      <x:c r="B6" s="53" t="n">
        <x:v>946</x:v>
      </x:c>
      <x:c r="C6" s="52" t="n">
        <x:v>5760006.02</x:v>
      </x:c>
      <x:c r="D6" s="53" t="n">
        <x:v>11</x:v>
      </x:c>
      <x:c r="E6" s="53" t="n">
        <x:v>7</x:v>
      </x:c>
      <x:c r="F6" s="97"/>
      <x:c r="G6" s="97"/>
      <x:c r="H6" s="97"/>
      <x:c r="I6" s="97"/>
      <x:c r="J6" s="97"/>
      <x:c r="K6" s="97"/>
      <x:c r="L6" s="97"/>
      <x:c r="M6" s="97"/>
      <x:c r="N6" s="97"/>
    </x:row>
    <x:row r="7">
      <x:c r="A7" s="51" t="str">
        <x:v>Loyal</x:v>
      </x:c>
      <x:c r="B7" s="53" t="n">
        <x:v>994</x:v>
      </x:c>
      <x:c r="C7" s="52" t="n">
        <x:v>1493818.88</x:v>
      </x:c>
      <x:c r="D7" s="53" t="n">
        <x:v>34</x:v>
      </x:c>
      <x:c r="E7" s="53" t="n">
        <x:v>3</x:v>
      </x:c>
      <x:c r="F7" s="97"/>
      <x:c r="G7" s="97"/>
      <x:c r="H7" s="97"/>
      <x:c r="I7" s="97"/>
      <x:c r="J7" s="97"/>
      <x:c r="K7" s="97"/>
      <x:c r="L7" s="97"/>
      <x:c r="M7" s="97"/>
      <x:c r="N7" s="97"/>
    </x:row>
    <x:row r="8">
      <x:c r="A8" s="51" t="str">
        <x:v>At Risk</x:v>
      </x:c>
      <x:c r="B8" s="53" t="n">
        <x:v>662</x:v>
      </x:c>
      <x:c r="C8" s="52" t="n">
        <x:v>829735.35</x:v>
      </x:c>
      <x:c r="D8" s="53" t="n">
        <x:v>133</x:v>
      </x:c>
      <x:c r="E8" s="53" t="n">
        <x:v>3</x:v>
      </x:c>
      <x:c r="F8" s="97"/>
      <x:c r="G8" s="97"/>
      <x:c r="H8" s="97"/>
      <x:c r="I8" s="97"/>
      <x:c r="J8" s="97"/>
      <x:c r="K8" s="97"/>
      <x:c r="L8" s="97"/>
      <x:c r="M8" s="97"/>
      <x:c r="N8" s="97"/>
    </x:row>
    <x:row r="9">
      <x:c r="A9" s="51" t="str">
        <x:v>Needs Attention</x:v>
      </x:c>
      <x:c r="B9" s="53" t="n">
        <x:v>759</x:v>
      </x:c>
      <x:c r="C9" s="52" t="n">
        <x:v>373381.35</x:v>
      </x:c>
      <x:c r="D9" s="53" t="n">
        <x:v>76</x:v>
      </x:c>
      <x:c r="E9" s="53" t="n">
        <x:v>1</x:v>
      </x:c>
      <x:c r="F9" s="97"/>
      <x:c r="G9" s="97"/>
      <x:c r="H9" s="97"/>
      <x:c r="I9" s="97"/>
      <x:c r="J9" s="97"/>
      <x:c r="K9" s="97"/>
      <x:c r="L9" s="97"/>
      <x:c r="M9" s="97"/>
      <x:c r="N9" s="97"/>
    </x:row>
    <x:row r="10">
      <x:c r="A10" s="51" t="str">
        <x:v>Hibernating</x:v>
      </x:c>
      <x:c r="B10" s="53" t="n">
        <x:v>666</x:v>
      </x:c>
      <x:c r="C10" s="52" t="n">
        <x:v>317337.48</x:v>
      </x:c>
      <x:c r="D10" s="53" t="n">
        <x:v>274.5</x:v>
      </x:c>
      <x:c r="E10" s="53" t="n">
        <x:v>1</x:v>
      </x:c>
      <x:c r="F10" s="97"/>
      <x:c r="G10" s="97"/>
      <x:c r="H10" s="97"/>
      <x:c r="I10" s="97"/>
      <x:c r="J10" s="97"/>
      <x:c r="K10" s="97"/>
      <x:c r="L10" s="97"/>
      <x:c r="M10" s="97"/>
      <x:c r="N10" s="97"/>
    </x:row>
    <x:row r="11">
      <x:c r="A11" s="51" t="str">
        <x:v>Promising</x:v>
      </x:c>
      <x:c r="B11" s="53" t="n">
        <x:v>311</x:v>
      </x:c>
      <x:c r="C11" s="52" t="n">
        <x:v>137128.82</x:v>
      </x:c>
      <x:c r="D11" s="53" t="n">
        <x:v>19</x:v>
      </x:c>
      <x:c r="E11" s="53" t="n">
        <x:v>1</x:v>
      </x:c>
      <x:c r="F11" s="97"/>
      <x:c r="G11" s="97"/>
      <x:c r="H11" s="97"/>
      <x:c r="I11" s="97"/>
      <x:c r="J11" s="97"/>
      <x:c r="K11" s="97"/>
      <x:c r="L11" s="97"/>
      <x:c r="M11" s="97"/>
      <x:c r="N11" s="97"/>
    </x:row>
  </x:sheetData>
  <x:pageMargins left="0.7" right="0.7" top="0.75" bottom="0.75" header="0.3" footer="0.3"/>
  <x:tableParts count="1">
    <x:tablePart xmlns:r="http://schemas.openxmlformats.org/officeDocument/2006/relationships" r:id="R76d275fd787441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2">
      <x:c r="A2" s="94" t="str">
        <x:v>Cohort retention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Share of each acquisition cohort purchasing again by month since first order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cohort_month</x:v>
      </x:c>
      <x:c r="B5" s="51" t="str">
        <x:v>month_0</x:v>
      </x:c>
      <x:c r="C5" s="51" t="str">
        <x:v>month_1</x:v>
      </x:c>
      <x:c r="D5" s="51" t="str">
        <x:v>month_2</x:v>
      </x:c>
      <x:c r="E5" s="51" t="str">
        <x:v>month_3</x:v>
      </x:c>
      <x:c r="F5" s="51" t="str">
        <x:v>month_4</x:v>
      </x:c>
      <x:c r="G5" s="51" t="str">
        <x:v>month_5</x:v>
      </x:c>
      <x:c r="H5" s="51" t="str">
        <x:v>month_6</x:v>
      </x:c>
      <x:c r="I5" s="51" t="str">
        <x:v>month_7</x:v>
      </x:c>
      <x:c r="J5" s="51" t="str">
        <x:v>month_8</x:v>
      </x:c>
      <x:c r="K5" s="51" t="str">
        <x:v>month_9</x:v>
      </x:c>
      <x:c r="L5" s="51" t="str">
        <x:v>month_10</x:v>
      </x:c>
      <x:c r="M5" s="51" t="str">
        <x:v>month_11</x:v>
      </x:c>
      <x:c r="N5" s="51" t="str">
        <x:v>month_12</x:v>
      </x:c>
    </x:row>
    <x:row r="6">
      <x:c r="A6" s="56" t="n">
        <x:v>40513</x:v>
      </x:c>
      <x:c r="B6" s="58" t="n">
        <x:v>1</x:v>
      </x:c>
      <x:c r="C6" s="57" t="n">
        <x:v>0.3661</x:v>
      </x:c>
      <x:c r="D6" s="57" t="n">
        <x:v>0.3232</x:v>
      </x:c>
      <x:c r="E6" s="57" t="n">
        <x:v>0.3842</x:v>
      </x:c>
      <x:c r="F6" s="57" t="n">
        <x:v>0.3627</x:v>
      </x:c>
      <x:c r="G6" s="57" t="n">
        <x:v>0.3977</x:v>
      </x:c>
      <x:c r="H6" s="57" t="n">
        <x:v>0.3627</x:v>
      </x:c>
      <x:c r="I6" s="57" t="n">
        <x:v>0.3492</x:v>
      </x:c>
      <x:c r="J6" s="57" t="n">
        <x:v>0.3537</x:v>
      </x:c>
      <x:c r="K6" s="57" t="n">
        <x:v>0.3955</x:v>
      </x:c>
      <x:c r="L6" s="57" t="n">
        <x:v>0.374</x:v>
      </x:c>
      <x:c r="M6" s="57" t="n">
        <x:v>0.5028</x:v>
      </x:c>
      <x:c r="N6" s="57" t="n">
        <x:v>0.2655</x:v>
      </x:c>
    </x:row>
    <x:row r="7">
      <x:c r="A7" s="56" t="n">
        <x:v>40544</x:v>
      </x:c>
      <x:c r="B7" s="58" t="n">
        <x:v>1</x:v>
      </x:c>
      <x:c r="C7" s="57" t="n">
        <x:v>0.2206</x:v>
      </x:c>
      <x:c r="D7" s="57" t="n">
        <x:v>0.2662</x:v>
      </x:c>
      <x:c r="E7" s="57" t="n">
        <x:v>0.2302</x:v>
      </x:c>
      <x:c r="F7" s="57" t="n">
        <x:v>0.3213</x:v>
      </x:c>
      <x:c r="G7" s="57" t="n">
        <x:v>0.2878</x:v>
      </x:c>
      <x:c r="H7" s="57" t="n">
        <x:v>0.247</x:v>
      </x:c>
      <x:c r="I7" s="57" t="n">
        <x:v>0.2422</x:v>
      </x:c>
      <x:c r="J7" s="57" t="n">
        <x:v>0.2998</x:v>
      </x:c>
      <x:c r="K7" s="57" t="n">
        <x:v>0.3261</x:v>
      </x:c>
      <x:c r="L7" s="57" t="n">
        <x:v>0.3645</x:v>
      </x:c>
      <x:c r="M7" s="57" t="n">
        <x:v>0.1175</x:v>
      </x:c>
      <x:c r="N7" s="57"/>
    </x:row>
    <x:row r="8">
      <x:c r="A8" s="56" t="n">
        <x:v>40575</x:v>
      </x:c>
      <x:c r="B8" s="58" t="n">
        <x:v>1</x:v>
      </x:c>
      <x:c r="C8" s="57" t="n">
        <x:v>0.1868</x:v>
      </x:c>
      <x:c r="D8" s="57" t="n">
        <x:v>0.1868</x:v>
      </x:c>
      <x:c r="E8" s="57" t="n">
        <x:v>0.2842</x:v>
      </x:c>
      <x:c r="F8" s="57" t="n">
        <x:v>0.2711</x:v>
      </x:c>
      <x:c r="G8" s="57" t="n">
        <x:v>0.2474</x:v>
      </x:c>
      <x:c r="H8" s="57" t="n">
        <x:v>0.2526</x:v>
      </x:c>
      <x:c r="I8" s="57" t="n">
        <x:v>0.2789</x:v>
      </x:c>
      <x:c r="J8" s="57" t="n">
        <x:v>0.2474</x:v>
      </x:c>
      <x:c r="K8" s="57" t="n">
        <x:v>0.3053</x:v>
      </x:c>
      <x:c r="L8" s="57" t="n">
        <x:v>0.0684</x:v>
      </x:c>
      <x:c r="M8" s="57"/>
      <x:c r="N8" s="57"/>
    </x:row>
    <x:row r="9">
      <x:c r="A9" s="56" t="n">
        <x:v>40603</x:v>
      </x:c>
      <x:c r="B9" s="58" t="n">
        <x:v>1</x:v>
      </x:c>
      <x:c r="C9" s="57" t="n">
        <x:v>0.1504</x:v>
      </x:c>
      <x:c r="D9" s="57" t="n">
        <x:v>0.2522</x:v>
      </x:c>
      <x:c r="E9" s="57" t="n">
        <x:v>0.1991</x:v>
      </x:c>
      <x:c r="F9" s="57" t="n">
        <x:v>0.2235</x:v>
      </x:c>
      <x:c r="G9" s="57" t="n">
        <x:v>0.1681</x:v>
      </x:c>
      <x:c r="H9" s="57" t="n">
        <x:v>0.2677</x:v>
      </x:c>
      <x:c r="I9" s="57" t="n">
        <x:v>0.2301</x:v>
      </x:c>
      <x:c r="J9" s="57" t="n">
        <x:v>0.2788</x:v>
      </x:c>
      <x:c r="K9" s="57" t="n">
        <x:v>0.0863</x:v>
      </x:c>
      <x:c r="L9" s="57"/>
      <x:c r="M9" s="57"/>
      <x:c r="N9" s="57"/>
    </x:row>
    <x:row r="10">
      <x:c r="A10" s="56" t="n">
        <x:v>40634</x:v>
      </x:c>
      <x:c r="B10" s="58" t="n">
        <x:v>1</x:v>
      </x:c>
      <x:c r="C10" s="57" t="n">
        <x:v>0.2133</x:v>
      </x:c>
      <x:c r="D10" s="57" t="n">
        <x:v>0.2033</x:v>
      </x:c>
      <x:c r="E10" s="57" t="n">
        <x:v>0.21</x:v>
      </x:c>
      <x:c r="F10" s="57" t="n">
        <x:v>0.1967</x:v>
      </x:c>
      <x:c r="G10" s="57" t="n">
        <x:v>0.2267</x:v>
      </x:c>
      <x:c r="H10" s="57" t="n">
        <x:v>0.2167</x:v>
      </x:c>
      <x:c r="I10" s="57" t="n">
        <x:v>0.26</x:v>
      </x:c>
      <x:c r="J10" s="57" t="n">
        <x:v>0.0733</x:v>
      </x:c>
      <x:c r="K10" s="57"/>
      <x:c r="L10" s="57"/>
      <x:c r="M10" s="57"/>
      <x:c r="N10" s="57"/>
    </x:row>
    <x:row r="11">
      <x:c r="A11" s="56" t="n">
        <x:v>40664</x:v>
      </x:c>
      <x:c r="B11" s="58" t="n">
        <x:v>1</x:v>
      </x:c>
      <x:c r="C11" s="57" t="n">
        <x:v>0.1901</x:v>
      </x:c>
      <x:c r="D11" s="57" t="n">
        <x:v>0.1725</x:v>
      </x:c>
      <x:c r="E11" s="57" t="n">
        <x:v>0.1725</x:v>
      </x:c>
      <x:c r="F11" s="57" t="n">
        <x:v>0.2077</x:v>
      </x:c>
      <x:c r="G11" s="57" t="n">
        <x:v>0.2324</x:v>
      </x:c>
      <x:c r="H11" s="57" t="n">
        <x:v>0.2641</x:v>
      </x:c>
      <x:c r="I11" s="57" t="n">
        <x:v>0.0951</x:v>
      </x:c>
      <x:c r="J11" s="57"/>
      <x:c r="K11" s="57"/>
      <x:c r="L11" s="57"/>
      <x:c r="M11" s="57"/>
      <x:c r="N11" s="57"/>
    </x:row>
    <x:row r="12">
      <x:c r="A12" s="56" t="n">
        <x:v>40695</x:v>
      </x:c>
      <x:c r="B12" s="58" t="n">
        <x:v>1</x:v>
      </x:c>
      <x:c r="C12" s="57" t="n">
        <x:v>0.1736</x:v>
      </x:c>
      <x:c r="D12" s="57" t="n">
        <x:v>0.157</x:v>
      </x:c>
      <x:c r="E12" s="57" t="n">
        <x:v>0.2645</x:v>
      </x:c>
      <x:c r="F12" s="57" t="n">
        <x:v>0.2314</x:v>
      </x:c>
      <x:c r="G12" s="57" t="n">
        <x:v>0.3347</x:v>
      </x:c>
      <x:c r="H12" s="57" t="n">
        <x:v>0.095</x:v>
      </x:c>
      <x:c r="I12" s="57"/>
      <x:c r="J12" s="57"/>
      <x:c r="K12" s="57"/>
      <x:c r="L12" s="57"/>
      <x:c r="M12" s="57"/>
      <x:c r="N12" s="57"/>
    </x:row>
    <x:row r="13">
      <x:c r="A13" s="56" t="n">
        <x:v>40725</x:v>
      </x:c>
      <x:c r="B13" s="58" t="n">
        <x:v>1</x:v>
      </x:c>
      <x:c r="C13" s="57" t="n">
        <x:v>0.1809</x:v>
      </x:c>
      <x:c r="D13" s="57" t="n">
        <x:v>0.2074</x:v>
      </x:c>
      <x:c r="E13" s="57" t="n">
        <x:v>0.2234</x:v>
      </x:c>
      <x:c r="F13" s="57" t="n">
        <x:v>0.2713</x:v>
      </x:c>
      <x:c r="G13" s="57" t="n">
        <x:v>0.1117</x:v>
      </x:c>
      <x:c r="H13" s="57"/>
      <x:c r="I13" s="57"/>
      <x:c r="J13" s="57"/>
      <x:c r="K13" s="57"/>
      <x:c r="L13" s="57"/>
      <x:c r="M13" s="57"/>
      <x:c r="N13" s="57"/>
    </x:row>
    <x:row r="14">
      <x:c r="A14" s="56" t="n">
        <x:v>40756</x:v>
      </x:c>
      <x:c r="B14" s="58" t="n">
        <x:v>1</x:v>
      </x:c>
      <x:c r="C14" s="57" t="n">
        <x:v>0.2071</x:v>
      </x:c>
      <x:c r="D14" s="57" t="n">
        <x:v>0.2485</x:v>
      </x:c>
      <x:c r="E14" s="57" t="n">
        <x:v>0.2426</x:v>
      </x:c>
      <x:c r="F14" s="57" t="n">
        <x:v>0.1243</x:v>
      </x:c>
      <x:c r="G14" s="57"/>
      <x:c r="H14" s="57"/>
      <x:c r="I14" s="57"/>
      <x:c r="J14" s="57"/>
      <x:c r="K14" s="57"/>
      <x:c r="L14" s="57"/>
      <x:c r="M14" s="57"/>
      <x:c r="N14" s="57"/>
    </x:row>
    <x:row r="15">
      <x:c r="A15" s="56" t="n">
        <x:v>40787</x:v>
      </x:c>
      <x:c r="B15" s="58" t="n">
        <x:v>1</x:v>
      </x:c>
      <x:c r="C15" s="57" t="n">
        <x:v>0.2341</x:v>
      </x:c>
      <x:c r="D15" s="57" t="n">
        <x:v>0.301</x:v>
      </x:c>
      <x:c r="E15" s="57" t="n">
        <x:v>0.1137</x:v>
      </x:c>
      <x:c r="F15" s="57"/>
      <x:c r="G15" s="57"/>
      <x:c r="H15" s="57"/>
      <x:c r="I15" s="57"/>
      <x:c r="J15" s="57"/>
      <x:c r="K15" s="57"/>
      <x:c r="L15" s="57"/>
      <x:c r="M15" s="57"/>
      <x:c r="N15" s="57"/>
    </x:row>
    <x:row r="16">
      <x:c r="A16" s="56" t="n">
        <x:v>40817</x:v>
      </x:c>
      <x:c r="B16" s="58" t="n">
        <x:v>1</x:v>
      </x:c>
      <x:c r="C16" s="57" t="n">
        <x:v>0.2402</x:v>
      </x:c>
      <x:c r="D16" s="57" t="n">
        <x:v>0.1145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  <x:row r="17">
      <x:c r="A17" s="56" t="n">
        <x:v>40848</x:v>
      </x:c>
      <x:c r="B17" s="58" t="n">
        <x:v>1</x:v>
      </x:c>
      <x:c r="C17" s="57" t="n">
        <x:v>0.1115</x:v>
      </x:c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</x:row>
    <x:row r="18">
      <x:c r="A18" s="56" t="n">
        <x:v>40878</x:v>
      </x:c>
      <x:c r="B18" s="58" t="n">
        <x:v>1</x:v>
      </x:c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</x:row>
  </x:sheetData>
  <x:conditionalFormatting sqref="B6:N18">
    <x:cfRule type="colorScale" priority="1">
      <x:colorScale>
        <x:cfvo type="min"/>
        <x:cfvo type="percentile" val="50"/>
        <x:cfvo type="max"/>
        <x:color rgb="FFEFF6FF"/>
        <x:color rgb="FF60A5FA"/>
        <x:color rgb="FF0F172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7c15321ae4149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</x:cols>
  <x:sheetData>
    <x:row r="2">
      <x:c r="A2" s="94" t="str">
        <x:v>Model summary &amp; data quality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 t="str">
        <x:v>Auditable definitions and source-to-model reconciliation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A4" s="97"/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</x:row>
    <x:row r="5">
      <x:c r="A5" s="51" t="str">
        <x:v>metric</x:v>
      </x:c>
      <x:c r="B5" s="51" t="str">
        <x:v>value</x:v>
      </x:c>
      <x:c r="C5" s="97"/>
      <x:c r="D5" s="97"/>
      <x:c r="E5" s="97"/>
      <x:c r="F5" s="97"/>
      <x:c r="G5" s="97"/>
      <x:c r="H5" s="97"/>
      <x:c r="I5" s="97"/>
      <x:c r="J5" s="97"/>
      <x:c r="K5" s="97"/>
      <x:c r="L5" s="97"/>
      <x:c r="M5" s="97"/>
      <x:c r="N5" s="97"/>
    </x:row>
    <x:row r="6">
      <x:c r="A6" s="51" t="str">
        <x:v>revenue</x:v>
      </x:c>
      <x:c r="B6" s="54" t="n">
        <x:v>10666684.54</x:v>
      </x:c>
      <x:c r="C6" s="97"/>
      <x:c r="D6" s="97"/>
      <x:c r="E6" s="97"/>
      <x:c r="F6" s="97"/>
      <x:c r="G6" s="97"/>
      <x:c r="H6" s="97"/>
      <x:c r="I6" s="97"/>
      <x:c r="J6" s="97"/>
      <x:c r="K6" s="97"/>
      <x:c r="L6" s="97"/>
      <x:c r="M6" s="97"/>
      <x:c r="N6" s="97"/>
    </x:row>
    <x:row r="7">
      <x:c r="A7" s="51" t="str">
        <x:v>orders</x:v>
      </x:c>
      <x:c r="B7" s="53" t="n">
        <x:v>19960</x:v>
      </x:c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97"/>
    </x:row>
    <x:row r="8">
      <x:c r="A8" s="51" t="str">
        <x:v>customers</x:v>
      </x:c>
      <x:c r="B8" s="53" t="n">
        <x:v>4338</x:v>
      </x:c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7"/>
    </x:row>
    <x:row r="9">
      <x:c r="A9" s="51" t="str">
        <x:v>average_order_value</x:v>
      </x:c>
      <x:c r="B9" s="54" t="n">
        <x:v>534.4</x:v>
      </x:c>
      <x:c r="C9" s="97"/>
      <x:c r="D9" s="97"/>
      <x:c r="E9" s="97"/>
      <x:c r="F9" s="97"/>
      <x:c r="G9" s="97"/>
      <x:c r="H9" s="97"/>
      <x:c r="I9" s="97"/>
      <x:c r="J9" s="97"/>
      <x:c r="K9" s="97"/>
      <x:c r="L9" s="97"/>
      <x:c r="M9" s="97"/>
      <x:c r="N9" s="97"/>
    </x:row>
    <x:row r="10">
      <x:c r="A10" s="51" t="str">
        <x:v>units_sold</x:v>
      </x:c>
      <x:c r="B10" s="53" t="n">
        <x:v>5588376</x:v>
      </x:c>
      <x:c r="C10" s="97"/>
      <x:c r="D10" s="97"/>
      <x:c r="E10" s="97"/>
      <x:c r="F10" s="97"/>
      <x:c r="G10" s="97"/>
      <x:c r="H10" s="97"/>
      <x:c r="I10" s="97"/>
      <x:c r="J10" s="97"/>
      <x:c r="K10" s="97"/>
      <x:c r="L10" s="97"/>
      <x:c r="M10" s="97"/>
      <x:c r="N10" s="97"/>
    </x:row>
    <x:row r="11">
      <x:c r="A11" s="51" t="str">
        <x:v>return_value</x:v>
      </x:c>
      <x:c r="B11" s="54" t="n">
        <x:v>896812.49</x:v>
      </x:c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  <x:c r="M11" s="97"/>
      <x:c r="N11" s="97"/>
    </x:row>
    <x:row r="12">
      <x:c r="A12" s="51" t="str">
        <x:v>return_value_rate</x:v>
      </x:c>
      <x:c r="B12" s="55" t="n">
        <x:v>0.0841</x:v>
      </x:c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  <x:c r="M12" s="97"/>
      <x:c r="N12" s="97"/>
    </x:row>
    <x:row r="13">
      <x:c r="A13" s="51" t="str">
        <x:v>start_date</x:v>
      </x:c>
      <x:c r="B13" s="59" t="n">
        <x:v>40513</x:v>
      </x:c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</x:row>
    <x:row r="14">
      <x:c r="A14" s="51" t="str">
        <x:v>definition</x:v>
      </x:c>
      <x:c r="B14" s="51" t="str">
        <x:v>Positive-quantity, positive-price, non-cancelled invoice lines</x:v>
      </x:c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  <x:c r="M14" s="97"/>
      <x:c r="N14" s="97"/>
    </x:row>
    <x:row r="15">
      <x:c r="A15" s="51" t="str">
        <x:v>end_date</x:v>
      </x:c>
      <x:c r="B15" s="59" t="n">
        <x:v>40886</x:v>
      </x:c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  <x:c r="M15" s="97"/>
      <x:c r="N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</x:row>
    <x:row r="20">
      <x:c r="A20" s="51" t="str">
        <x:v>check_name</x:v>
      </x:c>
      <x:c r="B20" s="51" t="str">
        <x:v>check_value</x:v>
      </x:c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  <x:c r="M20" s="97"/>
      <x:c r="N20" s="97"/>
    </x:row>
    <x:row r="21">
      <x:c r="A21" s="51" t="str">
        <x:v>source_rows</x:v>
      </x:c>
      <x:c r="B21" s="51" t="n">
        <x:v>541909</x:v>
      </x:c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  <x:c r="M21" s="97"/>
      <x:c r="N21" s="97"/>
    </x:row>
    <x:row r="22">
      <x:c r="A22" s="51" t="str">
        <x:v>missing_customer_rows</x:v>
      </x:c>
      <x:c r="B22" s="51" t="n">
        <x:v>135080</x:v>
      </x:c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  <x:c r="M22" s="97"/>
      <x:c r="N22" s="97"/>
    </x:row>
    <x:row r="23">
      <x:c r="A23" s="51" t="str">
        <x:v>missing_description_rows</x:v>
      </x:c>
      <x:c r="B23" s="51" t="n">
        <x:v>1454</x:v>
      </x:c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  <x:c r="M23" s="97"/>
      <x:c r="N23" s="97"/>
    </x:row>
    <x:row r="24">
      <x:c r="A24" s="51" t="str">
        <x:v>zero_or_negative_price_rows</x:v>
      </x:c>
      <x:c r="B24" s="51" t="n">
        <x:v>2517</x:v>
      </x:c>
      <x:c r="C24" s="97"/>
      <x:c r="D24" s="97"/>
      <x:c r="E24" s="97"/>
      <x:c r="F24" s="97"/>
      <x:c r="G24" s="97"/>
      <x:c r="H24" s="97"/>
      <x:c r="I24" s="97"/>
      <x:c r="J24" s="97"/>
      <x:c r="K24" s="97"/>
      <x:c r="L24" s="97"/>
      <x:c r="M24" s="97"/>
      <x:c r="N24" s="97"/>
    </x:row>
    <x:row r="25">
      <x:c r="A25" s="51" t="str">
        <x:v>cancelled_invoice_rows</x:v>
      </x:c>
      <x:c r="B25" s="51" t="n">
        <x:v>9288</x:v>
      </x:c>
      <x:c r="C25" s="97"/>
      <x:c r="D25" s="97"/>
      <x:c r="E25" s="97"/>
      <x:c r="F25" s="97"/>
      <x:c r="G25" s="97"/>
      <x:c r="H25" s="97"/>
      <x:c r="I25" s="97"/>
      <x:c r="J25" s="97"/>
      <x:c r="K25" s="97"/>
      <x:c r="L25" s="97"/>
      <x:c r="M25" s="97"/>
      <x:c r="N25" s="97"/>
    </x:row>
    <x:row r="26">
      <x:c r="A26" s="51" t="str">
        <x:v>modeled_fact_rows</x:v>
      </x:c>
      <x:c r="B26" s="51" t="n">
        <x:v>541909</x:v>
      </x:c>
      <x:c r="C26" s="97"/>
      <x:c r="D26" s="97"/>
      <x:c r="E26" s="97"/>
      <x:c r="F26" s="97"/>
      <x:c r="G26" s="97"/>
      <x:c r="H26" s="97"/>
      <x:c r="I26" s="97"/>
      <x:c r="J26" s="97"/>
      <x:c r="K26" s="97"/>
      <x:c r="L26" s="97"/>
      <x:c r="M26" s="97"/>
      <x:c r="N26" s="97"/>
    </x:row>
    <x:row r="27">
      <x:c r="A27" s="51" t="str">
        <x:v>orphan_customer_keys</x:v>
      </x:c>
      <x:c r="B27" s="51" t="n">
        <x:v>0</x:v>
      </x:c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  <x:c r="M27" s="97"/>
      <x:c r="N27" s="97"/>
    </x:row>
    <x:row r="28">
      <x:c r="A28" s="51" t="str">
        <x:v>orphan_product_keys</x:v>
      </x:c>
      <x:c r="B28" s="51" t="n">
        <x:v>0</x:v>
      </x:c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</x:row>
    <x:row r="29">
      <x:c r="A29" s="97"/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</x:row>
    <x:row r="30">
      <x:c r="A30" s="97"/>
      <x:c r="B30" s="97"/>
      <x:c r="C30" s="97"/>
      <x:c r="D30" s="97"/>
      <x:c r="E30" s="97"/>
      <x:c r="F30" s="97"/>
      <x:c r="G30" s="97"/>
      <x:c r="H30" s="97"/>
      <x:c r="I30" s="97"/>
      <x:c r="J30" s="97"/>
      <x:c r="K30" s="97"/>
      <x:c r="L30" s="97"/>
      <x:c r="M30" s="97"/>
      <x:c r="N30" s="97"/>
    </x:row>
    <x:row r="31">
      <x:c r="A31" s="109" t="str">
        <x:v>Source</x:v>
      </x:c>
      <x:c r="B31" s="110" t="str">
        <x:v>UCI Machine Learning Repository — Online Retail (Chen, 2015)</x:v>
      </x:c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</x:row>
    <x:row r="32">
      <x:c r="A32" s="109" t="str">
        <x:v>URL</x:v>
      </x:c>
      <x:c r="B32" s="110" t="str">
        <x:v>https://archive.ics.uci.edu/dataset/352/online%2Bretail</x:v>
      </x:c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</x:row>
    <x:row r="33">
      <x:c r="A33" s="109" t="str">
        <x:v>License</x:v>
      </x:c>
      <x:c r="B33" s="110" t="str">
        <x:v>CC BY 4.0</x:v>
      </x:c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</x:row>
  </x:sheetData>
  <x:pageMargins left="0.7" right="0.7" top="0.75" bottom="0.75" header="0.3" footer="0.3"/>
  <x:tableParts count="2">
    <x:tablePart xmlns:r="http://schemas.openxmlformats.org/officeDocument/2006/relationships" r:id="R4b5b969f34c640bd"/>
    <x:tablePart xmlns:r="http://schemas.openxmlformats.org/officeDocument/2006/relationships" r:id="Rf269dca9f3e749f8"/>
  </x:tableParts>
</x:worksheet>
</file>